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auto\Desktop\RAP\backend\assets\templates\"/>
    </mc:Choice>
  </mc:AlternateContent>
  <xr:revisionPtr revIDLastSave="0" documentId="13_ncr:1_{2884EDC6-00FA-4E42-9B6F-8E06398C9907}" xr6:coauthVersionLast="47" xr6:coauthVersionMax="47" xr10:uidLastSave="{00000000-0000-0000-0000-000000000000}"/>
  <bookViews>
    <workbookView xWindow="-108" yWindow="-108" windowWidth="23256" windowHeight="12576" tabRatio="731" activeTab="2" xr2:uid="{00000000-000D-0000-FFFF-FFFF00000000}"/>
  </bookViews>
  <sheets>
    <sheet name="New_6 Factors Form" sheetId="10" r:id="rId1"/>
    <sheet name="6 Factors Definition" sheetId="11" state="veryHidden" r:id="rId2"/>
    <sheet name="New_MBO Form" sheetId="17" r:id="rId3"/>
    <sheet name="Weight &amp; Grade Def." sheetId="13" state="veryHidden" r:id="rId4"/>
    <sheet name="How to fill MBO" sheetId="19" r:id="rId5"/>
    <sheet name="How to fill 6 Factors " sheetId="20" r:id="rId6"/>
    <sheet name="Grade Definition" sheetId="18" state="veryHidden" r:id="rId7"/>
  </sheets>
  <definedNames>
    <definedName name="_xlnm.Print_Area" localSheetId="5">'How to fill 6 Factors '!$A$1:$AT$84</definedName>
    <definedName name="_xlnm.Print_Area" localSheetId="4">'How to fill MBO'!$A$1:$AS$107</definedName>
    <definedName name="_xlnm.Print_Area" localSheetId="0">'New_6 Factors Form'!$A$1:$AT$84</definedName>
    <definedName name="_xlnm.Print_Area" localSheetId="2">'New_MBO Form'!$A$1:$AS$119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74" i="17" l="1"/>
  <c r="T74" i="17"/>
  <c r="Q74" i="17"/>
  <c r="AQ74" i="17"/>
  <c r="AN74" i="17"/>
  <c r="AK74" i="17"/>
  <c r="P74" i="17"/>
  <c r="AJ74" i="17"/>
  <c r="X4" i="10" l="1"/>
  <c r="X4" i="17"/>
  <c r="X4" i="19"/>
  <c r="F16" i="10"/>
  <c r="F14" i="10" s="1"/>
  <c r="AQ113" i="17"/>
  <c r="AN113" i="17"/>
  <c r="AK113" i="17"/>
  <c r="W113" i="17"/>
  <c r="T113" i="17"/>
  <c r="Q113" i="17"/>
  <c r="F18" i="10" l="1"/>
  <c r="X4" i="20"/>
  <c r="AJ101" i="19" l="1"/>
  <c r="AL71" i="20"/>
  <c r="T71" i="20"/>
  <c r="AL69" i="20"/>
  <c r="T69" i="20"/>
  <c r="AO63" i="20"/>
  <c r="AI71" i="20" s="1"/>
  <c r="AI63" i="20"/>
  <c r="AC63" i="20"/>
  <c r="W63" i="20"/>
  <c r="Q71" i="20" s="1"/>
  <c r="Q63" i="20"/>
  <c r="K63" i="20"/>
  <c r="F16" i="20"/>
  <c r="F18" i="20" s="1"/>
  <c r="AW1" i="20"/>
  <c r="G45" i="20" s="1"/>
  <c r="P101" i="19"/>
  <c r="J65" i="19"/>
  <c r="AQ101" i="19" s="1"/>
  <c r="AJ62" i="19"/>
  <c r="P62" i="19"/>
  <c r="K26" i="19"/>
  <c r="AQ62" i="19" s="1"/>
  <c r="F20" i="19"/>
  <c r="F22" i="19" s="1"/>
  <c r="AV1" i="19"/>
  <c r="G20" i="19" s="1"/>
  <c r="AJ113" i="17"/>
  <c r="AO71" i="20" l="1"/>
  <c r="W71" i="20"/>
  <c r="P103" i="19"/>
  <c r="AJ103" i="19"/>
  <c r="F18" i="19"/>
  <c r="AW2" i="19"/>
  <c r="AK62" i="19"/>
  <c r="AX2" i="19"/>
  <c r="AK101" i="19"/>
  <c r="AN62" i="19"/>
  <c r="AX1" i="19"/>
  <c r="G22" i="19" s="1"/>
  <c r="AY2" i="20"/>
  <c r="C51" i="20"/>
  <c r="G27" i="20"/>
  <c r="G51" i="20"/>
  <c r="F14" i="20"/>
  <c r="C33" i="20"/>
  <c r="C57" i="20"/>
  <c r="G33" i="20"/>
  <c r="G57" i="20"/>
  <c r="C39" i="20"/>
  <c r="AX1" i="20"/>
  <c r="G14" i="20" s="1"/>
  <c r="G39" i="20"/>
  <c r="C27" i="20"/>
  <c r="G16" i="20"/>
  <c r="AY1" i="20"/>
  <c r="G18" i="20" s="1"/>
  <c r="C45" i="20"/>
  <c r="AX2" i="20"/>
  <c r="AS103" i="19"/>
  <c r="Q62" i="19"/>
  <c r="T62" i="19"/>
  <c r="Q101" i="19"/>
  <c r="W62" i="19"/>
  <c r="T101" i="19"/>
  <c r="AW1" i="19"/>
  <c r="G18" i="19" s="1"/>
  <c r="W101" i="19"/>
  <c r="AN101" i="19"/>
  <c r="P113" i="17"/>
  <c r="K26" i="17"/>
  <c r="J77" i="17"/>
  <c r="F20" i="17"/>
  <c r="F22" i="17" s="1"/>
  <c r="AV1" i="17"/>
  <c r="AL71" i="10"/>
  <c r="AL69" i="10"/>
  <c r="T71" i="10"/>
  <c r="T69" i="10"/>
  <c r="G7" i="13"/>
  <c r="I7" i="13"/>
  <c r="G8" i="13"/>
  <c r="H8" i="13"/>
  <c r="I8" i="13"/>
  <c r="G9" i="13"/>
  <c r="H9" i="13"/>
  <c r="I9" i="13"/>
  <c r="G10" i="13"/>
  <c r="H10" i="13"/>
  <c r="I10" i="13"/>
  <c r="G11" i="13"/>
  <c r="H11" i="13"/>
  <c r="I11" i="13"/>
  <c r="G12" i="13"/>
  <c r="H12" i="13"/>
  <c r="I12" i="13"/>
  <c r="G13" i="13"/>
  <c r="H13" i="13"/>
  <c r="I13" i="13"/>
  <c r="G14" i="13"/>
  <c r="H14" i="13"/>
  <c r="I14" i="13"/>
  <c r="G15" i="13"/>
  <c r="H15" i="13"/>
  <c r="I15" i="13"/>
  <c r="G16" i="13"/>
  <c r="H16" i="13"/>
  <c r="I16" i="13"/>
  <c r="G17" i="13"/>
  <c r="H17" i="13"/>
  <c r="I17" i="13"/>
  <c r="G18" i="13"/>
  <c r="H18" i="13"/>
  <c r="I18" i="13"/>
  <c r="G19" i="13"/>
  <c r="H19" i="13"/>
  <c r="I19" i="13"/>
  <c r="G20" i="13"/>
  <c r="H20" i="13"/>
  <c r="I20" i="13"/>
  <c r="G21" i="13"/>
  <c r="H21" i="13"/>
  <c r="I21" i="13"/>
  <c r="G22" i="13"/>
  <c r="H22" i="13"/>
  <c r="I22" i="13"/>
  <c r="G23" i="13"/>
  <c r="H23" i="13"/>
  <c r="I23" i="13"/>
  <c r="G24" i="13"/>
  <c r="H24" i="13"/>
  <c r="I24" i="13"/>
  <c r="G25" i="13"/>
  <c r="H25" i="13"/>
  <c r="I25" i="13"/>
  <c r="G26" i="13"/>
  <c r="H26" i="13"/>
  <c r="I26" i="13"/>
  <c r="G27" i="13"/>
  <c r="H27" i="13"/>
  <c r="I27" i="13"/>
  <c r="G28" i="13"/>
  <c r="H28" i="13"/>
  <c r="I28" i="13"/>
  <c r="G29" i="13"/>
  <c r="H29" i="13"/>
  <c r="I29" i="13"/>
  <c r="G30" i="13"/>
  <c r="H30" i="13"/>
  <c r="I30" i="13"/>
  <c r="G31" i="13"/>
  <c r="H31" i="13"/>
  <c r="I31" i="13"/>
  <c r="G32" i="13"/>
  <c r="H32" i="13"/>
  <c r="I32" i="13"/>
  <c r="G33" i="13"/>
  <c r="H33" i="13"/>
  <c r="I33" i="13"/>
  <c r="G34" i="13"/>
  <c r="H34" i="13"/>
  <c r="I34" i="13"/>
  <c r="G35" i="13"/>
  <c r="H35" i="13"/>
  <c r="I35" i="13"/>
  <c r="G36" i="13"/>
  <c r="H36" i="13"/>
  <c r="I36" i="13"/>
  <c r="G37" i="13"/>
  <c r="H37" i="13"/>
  <c r="I37" i="13"/>
  <c r="G38" i="13"/>
  <c r="H38" i="13"/>
  <c r="I38" i="13"/>
  <c r="G39" i="13"/>
  <c r="H39" i="13"/>
  <c r="I39" i="13"/>
  <c r="G40" i="13"/>
  <c r="H40" i="13"/>
  <c r="I40" i="13"/>
  <c r="G41" i="13"/>
  <c r="H41" i="13"/>
  <c r="I41" i="13"/>
  <c r="G42" i="13"/>
  <c r="H42" i="13"/>
  <c r="I42" i="13"/>
  <c r="G43" i="13"/>
  <c r="H43" i="13"/>
  <c r="I43" i="13"/>
  <c r="I44" i="13"/>
  <c r="H44" i="13"/>
  <c r="G44" i="13"/>
  <c r="G45" i="13"/>
  <c r="H45" i="13"/>
  <c r="H46" i="13"/>
  <c r="G46" i="13"/>
  <c r="G47" i="13"/>
  <c r="I47" i="13"/>
  <c r="G48" i="13"/>
  <c r="H48" i="13"/>
  <c r="I48" i="13"/>
  <c r="G49" i="13"/>
  <c r="H49" i="13"/>
  <c r="I49" i="13"/>
  <c r="G50" i="13"/>
  <c r="H50" i="13"/>
  <c r="I50" i="13"/>
  <c r="G51" i="13"/>
  <c r="H51" i="13"/>
  <c r="I51" i="13"/>
  <c r="G52" i="13"/>
  <c r="H52" i="13"/>
  <c r="I52" i="13"/>
  <c r="G53" i="13"/>
  <c r="H53" i="13"/>
  <c r="I53" i="13"/>
  <c r="G54" i="13"/>
  <c r="H54" i="13"/>
  <c r="I54" i="13"/>
  <c r="G55" i="13"/>
  <c r="H55" i="13"/>
  <c r="I55" i="13"/>
  <c r="G56" i="13"/>
  <c r="H56" i="13"/>
  <c r="I56" i="13"/>
  <c r="G57" i="13"/>
  <c r="H57" i="13"/>
  <c r="I57" i="13"/>
  <c r="G58" i="13"/>
  <c r="H58" i="13"/>
  <c r="I58" i="13"/>
  <c r="G59" i="13"/>
  <c r="H59" i="13"/>
  <c r="I59" i="13"/>
  <c r="G60" i="13"/>
  <c r="H60" i="13"/>
  <c r="I60" i="13"/>
  <c r="G61" i="13"/>
  <c r="H61" i="13"/>
  <c r="I61" i="13"/>
  <c r="G62" i="13"/>
  <c r="H62" i="13"/>
  <c r="I62" i="13"/>
  <c r="G63" i="13"/>
  <c r="H63" i="13"/>
  <c r="I63" i="13"/>
  <c r="G64" i="13"/>
  <c r="H64" i="13"/>
  <c r="I64" i="13"/>
  <c r="G65" i="13"/>
  <c r="H65" i="13"/>
  <c r="I65" i="13"/>
  <c r="G66" i="13"/>
  <c r="H66" i="13"/>
  <c r="I66" i="13"/>
  <c r="G67" i="13"/>
  <c r="H67" i="13"/>
  <c r="I67" i="13"/>
  <c r="G68" i="13"/>
  <c r="H68" i="13"/>
  <c r="I68" i="13"/>
  <c r="G69" i="13"/>
  <c r="H69" i="13"/>
  <c r="I69" i="13"/>
  <c r="G70" i="13"/>
  <c r="H70" i="13"/>
  <c r="I70" i="13"/>
  <c r="G71" i="13"/>
  <c r="H71" i="13"/>
  <c r="I71" i="13"/>
  <c r="G72" i="13"/>
  <c r="H72" i="13"/>
  <c r="I72" i="13"/>
  <c r="G73" i="13"/>
  <c r="H73" i="13"/>
  <c r="I73" i="13"/>
  <c r="G74" i="13"/>
  <c r="H74" i="13"/>
  <c r="I74" i="13"/>
  <c r="G75" i="13"/>
  <c r="H75" i="13"/>
  <c r="I75" i="13"/>
  <c r="G76" i="13"/>
  <c r="H76" i="13"/>
  <c r="I76" i="13"/>
  <c r="G77" i="13"/>
  <c r="H77" i="13"/>
  <c r="I77" i="13"/>
  <c r="G78" i="13"/>
  <c r="H78" i="13"/>
  <c r="I78" i="13"/>
  <c r="G79" i="13"/>
  <c r="H79" i="13"/>
  <c r="I79" i="13"/>
  <c r="G80" i="13"/>
  <c r="H80" i="13"/>
  <c r="I80" i="13"/>
  <c r="G81" i="13"/>
  <c r="H81" i="13"/>
  <c r="I81" i="13"/>
  <c r="G82" i="13"/>
  <c r="H82" i="13"/>
  <c r="I82" i="13"/>
  <c r="G83" i="13"/>
  <c r="H83" i="13"/>
  <c r="I83" i="13"/>
  <c r="G84" i="13"/>
  <c r="H84" i="13"/>
  <c r="I84" i="13"/>
  <c r="G85" i="13"/>
  <c r="H85" i="13"/>
  <c r="G86" i="13"/>
  <c r="H86" i="13"/>
  <c r="W46" i="13"/>
  <c r="W44" i="13"/>
  <c r="W43" i="13"/>
  <c r="W42" i="13"/>
  <c r="W41" i="13"/>
  <c r="W40" i="13"/>
  <c r="W39" i="13"/>
  <c r="W38" i="13"/>
  <c r="W37" i="13"/>
  <c r="W36" i="13"/>
  <c r="W35" i="13"/>
  <c r="W34" i="13"/>
  <c r="W33" i="13"/>
  <c r="W32" i="13"/>
  <c r="W31" i="13"/>
  <c r="W30" i="13"/>
  <c r="W29" i="13"/>
  <c r="W27" i="13"/>
  <c r="W26" i="13"/>
  <c r="W25" i="13"/>
  <c r="W24" i="13"/>
  <c r="W23" i="13"/>
  <c r="W22" i="13"/>
  <c r="W21" i="13"/>
  <c r="W20" i="13"/>
  <c r="W19" i="13"/>
  <c r="W18" i="13"/>
  <c r="W17" i="13"/>
  <c r="W16" i="13"/>
  <c r="W15" i="13"/>
  <c r="W14" i="13"/>
  <c r="W13" i="13"/>
  <c r="W12" i="13"/>
  <c r="W11" i="13"/>
  <c r="W10" i="13"/>
  <c r="W9" i="13"/>
  <c r="W8" i="13"/>
  <c r="W7" i="13"/>
  <c r="AP103" i="19" l="1"/>
  <c r="AM103" i="19"/>
  <c r="S103" i="19"/>
  <c r="Y103" i="19"/>
  <c r="V103" i="19"/>
  <c r="P115" i="17"/>
  <c r="AJ115" i="17"/>
  <c r="AW1" i="17"/>
  <c r="G18" i="17" s="1"/>
  <c r="V115" i="17"/>
  <c r="AS115" i="17"/>
  <c r="AW2" i="17"/>
  <c r="F18" i="17"/>
  <c r="G20" i="17"/>
  <c r="AX1" i="17"/>
  <c r="G22" i="17" s="1"/>
  <c r="AX2" i="17"/>
  <c r="AI69" i="10" l="1"/>
  <c r="AO69" i="10" s="1"/>
  <c r="AI69" i="20"/>
  <c r="AO69" i="20" s="1"/>
  <c r="AR69" i="20" s="1"/>
  <c r="AP115" i="17"/>
  <c r="Y115" i="17"/>
  <c r="Q69" i="10" s="1"/>
  <c r="AM115" i="17"/>
  <c r="S115" i="17"/>
  <c r="W69" i="10" l="1"/>
  <c r="Q69" i="20"/>
  <c r="W69" i="20" s="1"/>
  <c r="Z69" i="20" s="1"/>
  <c r="AW1" i="10"/>
  <c r="G16" i="10" s="1"/>
  <c r="G27" i="10" l="1"/>
  <c r="AX2" i="10"/>
  <c r="AY1" i="10"/>
  <c r="G18" i="10" s="1"/>
  <c r="AX1" i="10"/>
  <c r="G14" i="10" s="1"/>
  <c r="AY2" i="10"/>
  <c r="C57" i="10"/>
  <c r="G57" i="10"/>
  <c r="G51" i="10"/>
  <c r="C33" i="10"/>
  <c r="C27" i="10"/>
  <c r="G33" i="10"/>
  <c r="C51" i="10"/>
  <c r="C45" i="10"/>
  <c r="C39" i="10"/>
  <c r="G45" i="10"/>
  <c r="G39" i="10"/>
  <c r="AO63" i="10"/>
  <c r="AI71" i="10" s="1"/>
  <c r="AO71" i="10" s="1"/>
  <c r="AR69" i="10" s="1"/>
  <c r="AI63" i="10"/>
  <c r="AC63" i="10"/>
  <c r="W63" i="10"/>
  <c r="Q71" i="10" s="1"/>
  <c r="W71" i="10" s="1"/>
  <c r="Z69" i="10" s="1"/>
  <c r="Q63" i="10"/>
  <c r="K63" i="10"/>
</calcChain>
</file>

<file path=xl/sharedStrings.xml><?xml version="1.0" encoding="utf-8"?>
<sst xmlns="http://schemas.openxmlformats.org/spreadsheetml/2006/main" count="2897" uniqueCount="636">
  <si>
    <t>Name</t>
  </si>
  <si>
    <t>Position</t>
  </si>
  <si>
    <t>Date joined</t>
  </si>
  <si>
    <t>Total year-of-service</t>
  </si>
  <si>
    <t>Self</t>
  </si>
  <si>
    <t>No.</t>
  </si>
  <si>
    <t>5:
4:
3:
2:
1:</t>
  </si>
  <si>
    <t>Date:</t>
  </si>
  <si>
    <t>Area</t>
  </si>
  <si>
    <t>Score</t>
  </si>
  <si>
    <t>Overall Appraisal Rating</t>
  </si>
  <si>
    <t>Appraisal Rating</t>
  </si>
  <si>
    <t>Weight</t>
  </si>
  <si>
    <t>Date promoted to current grade</t>
  </si>
  <si>
    <t>-</t>
  </si>
  <si>
    <t>Location</t>
  </si>
  <si>
    <t>Grade</t>
  </si>
  <si>
    <t>Position title</t>
  </si>
  <si>
    <t>M1</t>
  </si>
  <si>
    <t>M2</t>
  </si>
  <si>
    <t>M3</t>
  </si>
  <si>
    <t>M4</t>
  </si>
  <si>
    <t>M5</t>
  </si>
  <si>
    <t>Role</t>
  </si>
  <si>
    <t>Process</t>
  </si>
  <si>
    <t>Input</t>
  </si>
  <si>
    <t xml:space="preserve">Accountability </t>
  </si>
  <si>
    <t>Creating value</t>
  </si>
  <si>
    <t>Solving problem</t>
  </si>
  <si>
    <t>Communicating with others</t>
  </si>
  <si>
    <t>Developing people</t>
  </si>
  <si>
    <t>G5</t>
  </si>
  <si>
    <t>Individual contributor</t>
  </si>
  <si>
    <t>G6</t>
  </si>
  <si>
    <t>E7</t>
  </si>
  <si>
    <t>G7</t>
  </si>
  <si>
    <t>G8</t>
  </si>
  <si>
    <t>E5</t>
  </si>
  <si>
    <t>Formula to integrate grade definition</t>
  </si>
  <si>
    <t>For appraisal sheet (vlookup)</t>
  </si>
  <si>
    <t>Management level</t>
  </si>
  <si>
    <t>P5</t>
  </si>
  <si>
    <t>P6</t>
  </si>
  <si>
    <t>G9</t>
  </si>
  <si>
    <t>Assistant Manager</t>
  </si>
  <si>
    <t xml:space="preserve">Provides basic information to primary internal parties
</t>
  </si>
  <si>
    <t>Managing Self</t>
  </si>
  <si>
    <t>Managing Others</t>
  </si>
  <si>
    <t>Managing Performance</t>
  </si>
  <si>
    <t>Managing Improvement</t>
  </si>
  <si>
    <t>Managing Risk</t>
  </si>
  <si>
    <t>Expert</t>
  </si>
  <si>
    <t>Manager</t>
  </si>
  <si>
    <t>Knowleadege</t>
  </si>
  <si>
    <t xml:space="preserve">Co-develops mid to long-term (3-5 years) strategy and manages divisions for achieving the company’s goals
</t>
  </si>
  <si>
    <t xml:space="preserve">Vice President
</t>
  </si>
  <si>
    <t xml:space="preserve">Division Manager
</t>
  </si>
  <si>
    <t xml:space="preserve">Significantly improves or adapts existing processes/systems/products that impact to divisions
</t>
  </si>
  <si>
    <t xml:space="preserve">Solves multi-dimensional business issues with authority to manage operational resources, human resources and financial resources over divisions
</t>
  </si>
  <si>
    <t xml:space="preserve">Convinces internal and external parties who might have divergent view to accept company’s policy
</t>
  </si>
  <si>
    <t xml:space="preserve">Coaches Division managers and　 grooms successors
</t>
  </si>
  <si>
    <t xml:space="preserve">Has broad and substantive management knowledge across several divisions and skills for managing managers
</t>
  </si>
  <si>
    <t xml:space="preserve">Develops short to mid-term (1-3 years) strategy and manages the division for achieving the division’s goals
</t>
  </si>
  <si>
    <t xml:space="preserve">Significantly improves or adapts existing processes/systems/products that impact to the division
</t>
  </si>
  <si>
    <t xml:space="preserve">Solves complex business issues with authority to manage operational resources and limited human or financial resources over the division
</t>
  </si>
  <si>
    <t xml:space="preserve">Convinces internal and external parties who might have divergent view to accept division’s policy
</t>
  </si>
  <si>
    <t xml:space="preserve">Coaches Senior managers and grooms successors
</t>
  </si>
  <si>
    <t xml:space="preserve">Has broad knowledge of all job areas within the division and skills for managing managers
</t>
  </si>
  <si>
    <t xml:space="preserve">Senior Manager
</t>
  </si>
  <si>
    <t xml:space="preserve">Develops short-term plan (1 year) and manages departments / factory for achieving departments / factory’s goals
</t>
  </si>
  <si>
    <t xml:space="preserve">Significantly improves or adapts existing processes/systems/products for level up departments / factory performance
</t>
  </si>
  <si>
    <t xml:space="preserve">Solves complex business issues with authority to manage operational resources and limited human or financial resources over departments / factory
</t>
  </si>
  <si>
    <t xml:space="preserve">Convinces internal and external parties who are unwilling to accept departments / factory’s policy
</t>
  </si>
  <si>
    <t xml:space="preserve">Coaches  Manager and grooms successors
</t>
  </si>
  <si>
    <t xml:space="preserve">Has deep and broad knowledge for departments / factory and skills for managing managers
</t>
  </si>
  <si>
    <t xml:space="preserve">Develops action plan (1 year) and manages the department for achieving department’s goals
</t>
  </si>
  <si>
    <t xml:space="preserve">Enhances existing processes/systems/products for level up department performance
</t>
  </si>
  <si>
    <t xml:space="preserve">Solves business issues with some authorities to manage operational resources and limited human or financial resources in own department
</t>
  </si>
  <si>
    <t xml:space="preserve">Convinces internal and external parties who are unwilling to accept department’s policy
</t>
  </si>
  <si>
    <t xml:space="preserve">Coaches Assistant Managers and grooms successors
</t>
  </si>
  <si>
    <t xml:space="preserve">Has deep and broad knowledge for department and skills for managing managers
</t>
  </si>
  <si>
    <t>E2</t>
  </si>
  <si>
    <t xml:space="preserve">Specialist
</t>
  </si>
  <si>
    <t xml:space="preserve">Manages large initiatives that create significant value to entire company’s operation for achieving critical initiative’s goals
</t>
  </si>
  <si>
    <t xml:space="preserve">Enhances existing processes/systems/products for level up company performance
</t>
  </si>
  <si>
    <t xml:space="preserve">Solves  business issues with some authorities to manage  operational resources and limited human or financial resources related the initiatives
</t>
  </si>
  <si>
    <t xml:space="preserve">Convinces internal and external parties who might have divergent view to accept the initiative policy
</t>
  </si>
  <si>
    <t xml:space="preserve">Coaches and shares knowledge with others
</t>
  </si>
  <si>
    <t xml:space="preserve">Has advanced and well-developed job knowledge for assigned project operating and skills for managing team members 
</t>
  </si>
  <si>
    <t>S2</t>
  </si>
  <si>
    <t>G2</t>
  </si>
  <si>
    <t>E3</t>
  </si>
  <si>
    <t xml:space="preserve">Senior Specialist
</t>
  </si>
  <si>
    <t xml:space="preserve">Manages large initiatives that create significant value to the division for achieving initiative’s goals
</t>
  </si>
  <si>
    <t xml:space="preserve">Enhances existing processes/systems/products for level up division performance
</t>
  </si>
  <si>
    <t xml:space="preserve">Convinces internal and external parties who are unwilling to accept the initiative policy
</t>
  </si>
  <si>
    <t xml:space="preserve">Has board and well-developed job knowledge for assigned project operating and skills for managing team members
</t>
  </si>
  <si>
    <t>S3</t>
  </si>
  <si>
    <t>G3</t>
  </si>
  <si>
    <t>E4</t>
  </si>
  <si>
    <t xml:space="preserve">Manages initiatives that create significant value to the departments / factory for achieving initiative’s goals
</t>
  </si>
  <si>
    <t xml:space="preserve">Enhances existing processes/systems/products for level up departments / factory performance
</t>
  </si>
  <si>
    <t xml:space="preserve">Has well-developed job knowledge for assigned project operating and skills for managing team members
</t>
  </si>
  <si>
    <t>S4</t>
  </si>
  <si>
    <t>G4</t>
  </si>
  <si>
    <t>Deputy Manager</t>
  </si>
  <si>
    <t>S5</t>
  </si>
  <si>
    <t xml:space="preserve">Sets goals and objectives for team members for achieving operational results and team’s goal 
</t>
  </si>
  <si>
    <t xml:space="preserve">Adapts or enhances quality and value in existing process for level up team productivity
</t>
  </si>
  <si>
    <t>Solves  operational issue with limited authority to manage operational resources in assigned areas</t>
  </si>
  <si>
    <t>Convinces internal and external parties to reach agreement,  accepts new concept, practices and approaches</t>
  </si>
  <si>
    <t>Coaches team members</t>
  </si>
  <si>
    <t xml:space="preserve">Has well-developed job knowledge for team operating and skills for supervising team members
 </t>
  </si>
  <si>
    <t>S6</t>
  </si>
  <si>
    <t xml:space="preserve">Supervisor
</t>
  </si>
  <si>
    <t>Chief Engineer</t>
  </si>
  <si>
    <t xml:space="preserve">Executes critical assignments independently within the job area
</t>
  </si>
  <si>
    <t>Adapts or Checks, corrects problem exiting operation systems or  processes</t>
  </si>
  <si>
    <t xml:space="preserve">Convinces or Explains facts, practices, policies to internal and external parties
</t>
  </si>
  <si>
    <t>Teaches job knowledge to lower level</t>
  </si>
  <si>
    <t>Has advances knowledge within one job area</t>
  </si>
  <si>
    <t>S7</t>
  </si>
  <si>
    <t xml:space="preserve">Senior Leader
</t>
  </si>
  <si>
    <t>Senior Staff</t>
  </si>
  <si>
    <t>Senior Engineer</t>
  </si>
  <si>
    <t xml:space="preserve">Executes assignments with limited supervision within the job area
</t>
  </si>
  <si>
    <t xml:space="preserve">Checks and corrects problem in  exiting operation, systems or  processes
</t>
  </si>
  <si>
    <t xml:space="preserve">Solves well-defined operational issues in a assigned area
</t>
  </si>
  <si>
    <t>Explains facts, practices, policies to primary internal parties</t>
  </si>
  <si>
    <t xml:space="preserve">Guides job knowledge to lower level
</t>
  </si>
  <si>
    <t>Has practical job knowledge within one job area</t>
  </si>
  <si>
    <t>S8</t>
  </si>
  <si>
    <t xml:space="preserve">Leader
</t>
  </si>
  <si>
    <t>Staff</t>
  </si>
  <si>
    <t>Engineer</t>
  </si>
  <si>
    <t xml:space="preserve">Executes basic assignments with general supervision within the job area
</t>
  </si>
  <si>
    <t xml:space="preserve">Checks exiting operation systems or  processes
</t>
  </si>
  <si>
    <t xml:space="preserve">Has broad theoretical job knowledge within one job area
</t>
  </si>
  <si>
    <t>Senior Clerk</t>
  </si>
  <si>
    <t>Senior Operator</t>
  </si>
  <si>
    <t>Follows and check existing operational procedure</t>
  </si>
  <si>
    <t>Reports to superiors if there is any near miss or mistake in own operational area</t>
  </si>
  <si>
    <t xml:space="preserve">Provides basic information and explains their opinion to primary internal parties
</t>
  </si>
  <si>
    <t>Shares work related knowledge with others</t>
  </si>
  <si>
    <t>Has basic job knowledge and operational experience within one job area</t>
  </si>
  <si>
    <t>Clerk</t>
  </si>
  <si>
    <t>G10</t>
  </si>
  <si>
    <t>Follows existing operational procedure</t>
  </si>
  <si>
    <t>Has limited knowledge or experience</t>
  </si>
  <si>
    <t>Operator</t>
  </si>
  <si>
    <t>Out put</t>
  </si>
  <si>
    <t xml:space="preserve">-Co-develops mid to long-term (3-5 years) strategy and manages divisions for achieving the company’s goals
- Significantly improves or adapts existing processes/systems/products that impact to divisions,Solves multi-dimensional business issues with authority to manage operational resources, human resources and financial resources over divisions, Convinces internal and external parties who might have divergent view to accept company’s policy, Coaches Division managers and grooms successors
- Has broad and substantive management knowledge across several divisions and skills for managing managers
</t>
  </si>
  <si>
    <t xml:space="preserve">-Develops short to mid-term (1-3 years) strategy and manages the division for achieving the division’s goals
- Significantly improves or adapts existing processes/systems/products that impact to the division, Solves complex business issues with authority to manage operational resources and limited human or financial resources over the division, Convinces internal and external parties who might have divergent view to accept division’s policy, Coaches Senior managers and grooms successors
- Has broad knowledge of all job areas within the division and skills for managing managers
</t>
  </si>
  <si>
    <t xml:space="preserve">- Manages large initiatives that create significant value to entire company’s operation for achieving critical initiative’s goals
- Enhances existing processes/systems/products for level up company performance, Solves  business issues with some authorities to manage  operational resources and limited human or financial resources related the initiatives, Convinces internal and external parties who might have divergent view to accept the initiative policy, Coaches and shares knowledge with others
- Has advanced and well-developed job knowledge for assigned project operating and skills for managing team members 
</t>
  </si>
  <si>
    <t xml:space="preserve">- Develops short-term plan (1 year) and manages departments / factory for achieving departments / factory’s goals
- Significantly improves or adapts existing processes/systems/products for level up departments / factory performance, Solves complex business issues with authority to manage operational resources and limited human or financial resources over departments / factory, Convinces internal and external parties who are unwilling to accept departments / factory’s policy, Coaches  Manager and grooms successors
- Has deep and broad knowledge for departments / factory and skills for managing managers
</t>
  </si>
  <si>
    <t xml:space="preserve">- Manages large initiatives that create significant value to the division for achieving initiative’s goals
- Enhances existing processes/systems/products for level up division performance, Solves  business issues with some authorities to manage  operational resources and limited human or financial resources related the initiatives, Convinces internal and external parties who are unwilling to accept the initiative policy, Coaches and shares knowledge with others
- Has board and well-developed job knowledge for assigned project operating and skills for managing team members
</t>
  </si>
  <si>
    <t xml:space="preserve">- Manages initiatives that create significant value to the departments / factory for achieving initiative’s goals
- Enhances existing processes/systems/products for level up departments / factory performance, Solves  business issues with some authorities to manage  operational resources and limited human or financial resources related the initiatives, Convinces internal and external parties who are unwilling to accept the initiative policy, Coaches and shares knowledge with others
- Has well-developed job knowledge for assigned project operating and skills for managing team members
</t>
  </si>
  <si>
    <t xml:space="preserve">-Sets goals and objectives for team members for achieving operational results and team’s goal 
- Adapts or enhances quality and value in existing process for level up team productivity, Solves  operational issue with limited authority to manage operational resources in assigned areas, Convinces internal and external parties to reach agreement,  accepts new concept, practices and approaches, Coaches team members
- Has well-developed job knowledge for team operating and skills for supervising team members
 </t>
  </si>
  <si>
    <t>- Executes critical assignments independently within the job area
- Adapts or Checks, corrects problem exiting operation systems or  processes, Solves  operational issue with limited authority to manage operational resources in assigned areas, Convinces or Explains facts, practices, policies to internal and external parties, Teaches job knowledge to lower level
- Has advances knowledge within one job area</t>
  </si>
  <si>
    <t>- Executes assignments with limited supervision within the job area
- Checks and corrects problem in  exiting operation, systems or  processes, Solves well-defined operational issues in a assigned area, Explains facts, practices, policies to primary internal partiesGuides job knowledge to lower level
- Has practical job knowledge within one job area</t>
  </si>
  <si>
    <t xml:space="preserve">- Executes basic assignments with general supervision within the job area
- Checks exiting operation systems or  processes, Solves well-defined operational issues in a assigned area, Explains facts, practices, policies to primary internal partiesGuides job knowledge to lower level
- Has broad theoretical job knowledge within one job area
</t>
  </si>
  <si>
    <t>- Executes daily routine operation under standard procedure with close supervision 
- Follows existing operational procedure, Reports to superiors if there is any near miss or mistake in own operational area, Provides basic information to primary internal parties, Shares work related knowledge with others
- Has limited knowledge or experience</t>
  </si>
  <si>
    <t>Thai Parkerizing Co., Ltd.</t>
  </si>
  <si>
    <t>Definition</t>
  </si>
  <si>
    <t xml:space="preserve">- Know expected role and show responsibility as expected
- Continue to acquire new knowledge, skills  and expertise
- Able to develop strategy and plan  to drive business 
</t>
  </si>
  <si>
    <t>- Work collaboratively towards common goals 
- Communicate and influence effectively  
- Plan, inspire, coach and develop team capability</t>
  </si>
  <si>
    <t>- Think analytically to identify issue and solution
- Make decision and implement solution over issues timely
- Effectively optimize resource of department</t>
  </si>
  <si>
    <t>- Plan, prioritize, organize available resource and optimize process to achieve common goals
- Lead self and others in achieving common goals
- Inspire others as department to achieve company outcome</t>
  </si>
  <si>
    <t>- Generate ideas or encourage others to improve
- Take action in implementing new ideas
- Provide knowledge or training to others</t>
  </si>
  <si>
    <t xml:space="preserve">- Comply to rules and  quality work standard
- Identify operational risk and make prevention
- Promote and monitor others in department to follow work standard, rule 
</t>
  </si>
  <si>
    <t xml:space="preserve">Co-develops action plan (1 year) and manages the section for achieving section’s goals
</t>
  </si>
  <si>
    <t>Effectively co-operate and properly communicate with others as individual contributor</t>
  </si>
  <si>
    <t>Identify, analyze issue, consider options and develop solutions to others in responsible scope</t>
  </si>
  <si>
    <t>Lead team and result of responsible scope</t>
  </si>
  <si>
    <t>Drive performance in responsible scope
 by identifying and/or developing a new way forward</t>
  </si>
  <si>
    <t xml:space="preserve">Minimize operational risk
 by complying to organization's rules, practice and work standard, together with,taking  preventive action </t>
  </si>
  <si>
    <t xml:space="preserve">- Know expected role and show responsibility as expected
- Continue to acquire new knowledge, skills  and expertise
</t>
  </si>
  <si>
    <t>- Think analytically to identify issue and solution
- Make decision and implement solution over issues timely</t>
  </si>
  <si>
    <t xml:space="preserve">Effectively utilizing knowledge/skills and manage oneself in a manner that enhances role effectiveness and demonstrate continuous self development as experienced individual contributor
</t>
  </si>
  <si>
    <t>Daily wage operator</t>
  </si>
  <si>
    <t>- Executes routine operation under standard procedure with close supervision 
- Follows existing operational procedure, Reports to superiors if there is any near miss or mistake in own operational area, Provides basic information to primary internal parties, Shares work related knowledge with others
- Has limited knowledge or experience</t>
  </si>
  <si>
    <t xml:space="preserve">Executes routine operation under standard procedure with close supervision </t>
  </si>
  <si>
    <t>Executes routine operation with moderate supervision</t>
  </si>
  <si>
    <t>- Executes routine operation with moderate supervision
- Follows and check existing operational procedure, Reports to superiors if there is any near miss or mistake in own operational area, Provides basic information and explains their opinion to primary internal parties, Shares work related knowledge with others
- Has basic job knowledge and operational experience within one job area</t>
  </si>
  <si>
    <t xml:space="preserve">- Co-develops action plan (1 year) and manages the section for achieving section’s goals 
- Adapts or enhances quality and value in existing process for level up team productivity, Solves  operational issue with limited authority to manage operational resources in assigned areas, Convinces internal and external parties to reach agreement,  accepts new concept, practices and approaches, Coaches team members
- Has well-developed job knowledge for team operating and skills for supervising team members
 </t>
  </si>
  <si>
    <t>Current Grade</t>
  </si>
  <si>
    <t>Division / Department / Section</t>
  </si>
  <si>
    <t>First Appraiser</t>
  </si>
  <si>
    <t>Second Appraiser</t>
  </si>
  <si>
    <t>Appraisal Period</t>
  </si>
  <si>
    <t>ชื่อ-นามสกุล</t>
  </si>
  <si>
    <t>ตำแหน่ง</t>
  </si>
  <si>
    <t>เกรดปัจจุบัน</t>
  </si>
  <si>
    <t>วันเริ่มงาน</t>
  </si>
  <si>
    <t>อายุงาน</t>
  </si>
  <si>
    <t>พื้นที่ปฏิบัติงาน</t>
  </si>
  <si>
    <t>ฝ่าย / แผนก / หน่วยงาน</t>
  </si>
  <si>
    <t>(ระบุชื่อและตำแหน่งของผู้ประเมินคนที่ 1)</t>
  </si>
  <si>
    <t>ช่วงการประเมิน</t>
  </si>
  <si>
    <t>วันที่ได้รับการปรับสู่เกรดปัจจุบัน</t>
  </si>
  <si>
    <t>Grade Definition
คำนิยาม</t>
  </si>
  <si>
    <t>Current Grade
เกรดปัจจุบัน</t>
  </si>
  <si>
    <t>Upper Grade
เกรดที่สูงกว่า</t>
  </si>
  <si>
    <t>Lower Grade
เกรดที่ต่ำกว่า</t>
  </si>
  <si>
    <t>Behavioral Assessment</t>
  </si>
  <si>
    <t>Measuring Criteria : เงื่อนไขการประเมิน</t>
  </si>
  <si>
    <t>5:</t>
  </si>
  <si>
    <t>4:</t>
  </si>
  <si>
    <t>3:</t>
  </si>
  <si>
    <t>2:</t>
  </si>
  <si>
    <t>1:</t>
  </si>
  <si>
    <t>No action taking at all
ไม่ดำเนินการสิ่งใดเลย</t>
  </si>
  <si>
    <t>Take some action but not fully appropriate
มีการดำเนินการบ้าง แต่ไม่ได้ถูกต้องและเหมาะสมไปทั้งหมด</t>
  </si>
  <si>
    <t>Comment / Reason (if any)</t>
  </si>
  <si>
    <t>คะแนน</t>
  </si>
  <si>
    <t>คำติชม/ เหตุผล (ถ้ามี)</t>
  </si>
  <si>
    <t>Items (หัวข้อ)</t>
  </si>
  <si>
    <t>Average</t>
  </si>
  <si>
    <t>Remarks</t>
  </si>
  <si>
    <t>Strengths (จุดแข็ง สิ่งที่ทำได้ดี)</t>
  </si>
  <si>
    <t>Development Needs (สิ่งที่ต้องการจะปรับปรุง)</t>
  </si>
  <si>
    <t>[ สำหรับผู้ประเมินคนที่ 1] พูดคุยกับผู้ถูกประเมินเกี่ยวกับการพัฒนาในอนาคต, ดำเนินการ เฉพาะในการประเมินช่วงครึ่งปีหลังเท่านัน</t>
  </si>
  <si>
    <t>[ สำหรับผู้ประเมินคนที่ 1 กับ หน่วยงาน HR] กำหนดแผนการอบรมและพัฒนา, ดำเนินการเฉพาะในการประเมินช่วงครึ่งปีหลังเท่านั้น</t>
  </si>
  <si>
    <t>Type of training / Programs</t>
  </si>
  <si>
    <t>Level of trainig / Programs</t>
  </si>
  <si>
    <t>OJT Activities</t>
  </si>
  <si>
    <t>Off-JT Activities</t>
  </si>
  <si>
    <t>Self-learning</t>
  </si>
  <si>
    <t>ข้อ</t>
  </si>
  <si>
    <t>หมายเหตุ</t>
  </si>
  <si>
    <t>ระบุสิ่งที่ทำได้ดี</t>
  </si>
  <si>
    <t>ระบุสิ่งที่ต้องปรับปรุง</t>
  </si>
  <si>
    <t>ระบุหัวข้อการอบรม</t>
  </si>
  <si>
    <t>ระดับของการอบรม เช่น Basic หรือ Advance</t>
  </si>
  <si>
    <t>Training &amp; Development Methods (วิธีการอบรมและพัฒนา)</t>
  </si>
  <si>
    <t>เรียนรู้ด้วยตนเอง</t>
  </si>
  <si>
    <t>อบรมที่หน้างาน</t>
  </si>
  <si>
    <t>อบรมนอกเหนือจากหน้างาน</t>
  </si>
  <si>
    <t>Training &amp; Development Plan : แผนการอบรม และ พัฒนา</t>
  </si>
  <si>
    <t>Target Started &amp; Achieved time</t>
  </si>
  <si>
    <t>Responsible by (ผู้รับผิดชอบ)</t>
  </si>
  <si>
    <t>Employee</t>
  </si>
  <si>
    <t>พนักงาน</t>
  </si>
  <si>
    <t>ผู้ประเมินคนที่ 1</t>
  </si>
  <si>
    <t>Starting Date</t>
  </si>
  <si>
    <t>Finished Date</t>
  </si>
  <si>
    <t>วันที่เริ่มต้น</t>
  </si>
  <si>
    <t>วันที่แล้วเสร็จ</t>
  </si>
  <si>
    <t>Behavioral Appraisal - Competency Assessment Form</t>
  </si>
  <si>
    <t>รวมผลการประเมินทั้งหมด</t>
  </si>
  <si>
    <t>ผลงาน / การบรรลุเป้าหมาย</t>
  </si>
  <si>
    <t>Behavioral (6 Factors)</t>
  </si>
  <si>
    <t xml:space="preserve">พฤติกรรม </t>
  </si>
  <si>
    <t>Performance / Goals (MBO)</t>
  </si>
  <si>
    <t>น้ำหนัก</t>
  </si>
  <si>
    <t>ผลคะแนน</t>
  </si>
  <si>
    <t>Rating</t>
  </si>
  <si>
    <t>สรุปผลการประเมิน</t>
  </si>
  <si>
    <t>Take appropriate action as expected
ดำเนินการได้อย่างเหมาะสม ตรงตามที่คาดหวัง</t>
  </si>
  <si>
    <t>Always take appropriate action in various situations
ดำเนินการได้อย่างเหมาะสม ตรงตามที่คาดหวัง ในหลากหลายสถานการณ์</t>
  </si>
  <si>
    <t>Always take appropriate action and be regarded as a "role model" ดำเนินการได้อย่างเหมาะสม ตรงตามที่คาดหวังอยู่เสมอ และได้รับการยอมรับในฐานะแบบอย่างที่ดี</t>
  </si>
  <si>
    <t>Self-Assessment
(พนักงานประเมินตนเอง)</t>
  </si>
  <si>
    <r>
      <t xml:space="preserve">Managing Self
</t>
    </r>
    <r>
      <rPr>
        <sz val="20"/>
        <rFont val="Calibri"/>
        <family val="2"/>
        <scheme val="minor"/>
      </rPr>
      <t>การจัดการตนเอง</t>
    </r>
  </si>
  <si>
    <r>
      <t xml:space="preserve">Managing Others
</t>
    </r>
    <r>
      <rPr>
        <sz val="20"/>
        <rFont val="Calibri"/>
        <family val="2"/>
        <scheme val="minor"/>
      </rPr>
      <t>การจัดการผู้อื่น</t>
    </r>
  </si>
  <si>
    <r>
      <t xml:space="preserve">Managing Problem
</t>
    </r>
    <r>
      <rPr>
        <sz val="20"/>
        <rFont val="Calibri"/>
        <family val="2"/>
        <scheme val="minor"/>
      </rPr>
      <t>การจัดการปัญหา</t>
    </r>
  </si>
  <si>
    <r>
      <t xml:space="preserve">Managing Performance 
</t>
    </r>
    <r>
      <rPr>
        <sz val="20"/>
        <rFont val="Calibri"/>
        <family val="2"/>
        <scheme val="minor"/>
      </rPr>
      <t>การจัดการ
ผลการปฏิบัติงาน</t>
    </r>
  </si>
  <si>
    <r>
      <t xml:space="preserve">Managing Improvement
</t>
    </r>
    <r>
      <rPr>
        <sz val="20"/>
        <rFont val="Calibri"/>
        <family val="2"/>
        <scheme val="minor"/>
      </rPr>
      <t>การจัดการเรื่อง
การปรับปรุงงาน</t>
    </r>
  </si>
  <si>
    <r>
      <t xml:space="preserve">Managing Risk
</t>
    </r>
    <r>
      <rPr>
        <sz val="20"/>
        <rFont val="Calibri"/>
        <family val="2"/>
        <scheme val="minor"/>
      </rPr>
      <t>การจัดการความเสี่ยง</t>
    </r>
  </si>
  <si>
    <t>Definition
(คำนิยาม)</t>
  </si>
  <si>
    <t>Viewpoint
(พฤติกรรมตามตำแหน่ง)</t>
  </si>
  <si>
    <t>Additional Remarks (หมายเหตุเพิ่มเติม)</t>
  </si>
  <si>
    <t xml:space="preserve">- Develops action plan (1 year) and manages the department for achieving department’s goals
- Enhances existing processes/systems/products for level up department performance, Solves business issues with some authorities to manage operational resources and limited human or financial resources in own department, Convinces internal and external parties who are unwilling to accept department’s policy, Coaches Section Manager and Assistant Managers and grooms successors
- Has deep and broad knowledge for department and skills for managing managers
</t>
  </si>
  <si>
    <t>Managing Problem</t>
  </si>
  <si>
    <t>E6</t>
  </si>
  <si>
    <t>E8</t>
  </si>
  <si>
    <t>P7-B</t>
  </si>
  <si>
    <t>P7-A</t>
  </si>
  <si>
    <t>P8-B</t>
  </si>
  <si>
    <t>P8-A</t>
  </si>
  <si>
    <t>P9-B</t>
  </si>
  <si>
    <t>P9-A</t>
  </si>
  <si>
    <t>P10-B</t>
  </si>
  <si>
    <t>P10-A</t>
  </si>
  <si>
    <t>G11</t>
  </si>
  <si>
    <t>P11</t>
  </si>
  <si>
    <t>View Point</t>
  </si>
  <si>
    <t>Effectively utilizing knowledge/skills and manage oneself in a manner that enhances role effectiveness and demonstrate continuous self development as individual contributor</t>
  </si>
  <si>
    <t>Effectively co-operate and properly communicate with others to achieve company goals</t>
  </si>
  <si>
    <t>Identify, analyze issue, consider options and develop solutions to correct problem in assigned workscope</t>
  </si>
  <si>
    <t>'Lead/ manage self performance to achieve assigned goals or accomplish assignments</t>
  </si>
  <si>
    <t xml:space="preserve">Improve assignment by identifying and/or developing a new way forward </t>
  </si>
  <si>
    <t xml:space="preserve">Minimize operational risk by complying to organization's rules, practice and work standard, together with,taking  preventive action </t>
  </si>
  <si>
    <t xml:space="preserve">Effectively utilizing knowledge/skills and manage oneself in a manner that enhances role effectiveness and demonstrate continuous self development as management
</t>
  </si>
  <si>
    <t>Identify, analyze issue, consider options and develop solutions to correct problem in company</t>
  </si>
  <si>
    <t>Lead/ manage team performance to achieve resposible scope</t>
  </si>
  <si>
    <t>lmprove overall performance on responsible scope and encourage others to do so by identifying and/or developing a new way forward</t>
  </si>
  <si>
    <t xml:space="preserve">Minimize complex risk in entire company by complying to organization's rules, practice and work standard, together with,taking  preventive action </t>
  </si>
  <si>
    <t xml:space="preserve">- Work collaboratively towards common goals 
- Communicate and influence effectively  
</t>
  </si>
  <si>
    <t xml:space="preserve">- Think analytically to identify issue and solution
- Make decision and implement solution over issues timely
</t>
  </si>
  <si>
    <t>- Plan, prioritize, organize available resource and optimize process to achieve common goals
- Lead self and others in achieving common goals</t>
  </si>
  <si>
    <t>- Generate ideas or encourage others to improve
- Take action in implementing new ideas</t>
  </si>
  <si>
    <t>- Comply to rules and  quality work standard
- Identify operational risk and make prevention</t>
  </si>
  <si>
    <t>Effectively co-operate and properly communicate with others to achieve division goals</t>
  </si>
  <si>
    <t>Identify, analyze issue, consider options and develop solutions to correct problem in division</t>
  </si>
  <si>
    <t xml:space="preserve">Minimize complex risk in division
 by complying to organization's rules, practice and work standard, together with,taking  preventive action </t>
  </si>
  <si>
    <t>Identify, analyze issue, consider options and develop solutions to correct problem in departments / factory</t>
  </si>
  <si>
    <t xml:space="preserve">Minimize complex risk in departments / factory
 by complying to organization's rules, practice and work standard, together with,taking  preventive action </t>
  </si>
  <si>
    <t xml:space="preserve">Effectively utilizing knowledge/skills and manage oneself in a manner that enhances role effectiveness and demonstrate continuous self development as specialist
</t>
  </si>
  <si>
    <t>Effectively co-operate and properly communicate with others in responsible scope</t>
  </si>
  <si>
    <t>Identify, analyze issue, consider options and develop solutions to critical business process</t>
  </si>
  <si>
    <t>Lead/ manage team performance to drive performance in responsible scope</t>
  </si>
  <si>
    <t xml:space="preserve">Minimize complex risk by complying to organization's rules, practice and work standard, together with,taking  preventive action </t>
  </si>
  <si>
    <t>Identify, analyze issue, consider options and develop solutions in own assignment</t>
  </si>
  <si>
    <t>Lead self &amp; manage task to achieve assigned goals or accomplish assignment</t>
  </si>
  <si>
    <t>Improve own assignment
 by identifying and/or developing a new way forward</t>
  </si>
  <si>
    <t xml:space="preserve">- Work collaboratively towards common goals 
- Communicate and influence effectively  </t>
  </si>
  <si>
    <t xml:space="preserve">- Comply to rules and  quality work standard
- Identify operational risk and make prevention
</t>
  </si>
  <si>
    <t>Effectively utilizing knowledge/skills and manage oneself in a manner that enhances role effectiveness and demonstrate continuous self development as experienced individual contributor</t>
  </si>
  <si>
    <t>M1E</t>
  </si>
  <si>
    <t>M2E</t>
  </si>
  <si>
    <t>E2E</t>
  </si>
  <si>
    <t>S2E</t>
  </si>
  <si>
    <t>G2E</t>
  </si>
  <si>
    <t>M3E</t>
  </si>
  <si>
    <t>E3E</t>
  </si>
  <si>
    <t>S3E</t>
  </si>
  <si>
    <t>G3E</t>
  </si>
  <si>
    <t>M4E</t>
  </si>
  <si>
    <t>E4E</t>
  </si>
  <si>
    <t>S4E</t>
  </si>
  <si>
    <t>G4E</t>
  </si>
  <si>
    <t>M5E</t>
  </si>
  <si>
    <t>E5E</t>
  </si>
  <si>
    <t>S5E</t>
  </si>
  <si>
    <t>G5E</t>
  </si>
  <si>
    <t>P5E</t>
  </si>
  <si>
    <t>E6E</t>
  </si>
  <si>
    <t>S6E</t>
  </si>
  <si>
    <t>G6E</t>
  </si>
  <si>
    <t>P6E</t>
  </si>
  <si>
    <t>E7E</t>
  </si>
  <si>
    <t>S7E</t>
  </si>
  <si>
    <t>G7E</t>
  </si>
  <si>
    <t>P7-BE</t>
  </si>
  <si>
    <t>P7-AE</t>
  </si>
  <si>
    <t>E8E</t>
  </si>
  <si>
    <t>S8E</t>
  </si>
  <si>
    <t>G8E</t>
  </si>
  <si>
    <t>P8-BE</t>
  </si>
  <si>
    <t>P8-AE</t>
  </si>
  <si>
    <t>G9E</t>
  </si>
  <si>
    <t>P9-BE</t>
  </si>
  <si>
    <t>P9-AE</t>
  </si>
  <si>
    <t>G10E</t>
  </si>
  <si>
    <t>P10-BE</t>
  </si>
  <si>
    <t>P10-AE</t>
  </si>
  <si>
    <t>G11E</t>
  </si>
  <si>
    <t>P11E</t>
  </si>
  <si>
    <t>T</t>
  </si>
  <si>
    <t>M1T</t>
  </si>
  <si>
    <t>M2T</t>
  </si>
  <si>
    <t>E2T</t>
  </si>
  <si>
    <t>S2T</t>
  </si>
  <si>
    <t>G2T</t>
  </si>
  <si>
    <t>M3T</t>
  </si>
  <si>
    <t>E3T</t>
  </si>
  <si>
    <t>S3T</t>
  </si>
  <si>
    <t>G3T</t>
  </si>
  <si>
    <t>M4T</t>
  </si>
  <si>
    <t>E4T</t>
  </si>
  <si>
    <t>S4T</t>
  </si>
  <si>
    <t>G4T</t>
  </si>
  <si>
    <t>M5T</t>
  </si>
  <si>
    <t>E5T</t>
  </si>
  <si>
    <t>S5T</t>
  </si>
  <si>
    <t>G5T</t>
  </si>
  <si>
    <t>P5T</t>
  </si>
  <si>
    <t>E6T</t>
  </si>
  <si>
    <t>S6T</t>
  </si>
  <si>
    <t>G6T</t>
  </si>
  <si>
    <t>P6T</t>
  </si>
  <si>
    <t>E7T</t>
  </si>
  <si>
    <t>S7T</t>
  </si>
  <si>
    <t>G7T</t>
  </si>
  <si>
    <t>P7-BT</t>
  </si>
  <si>
    <t>P7-AT</t>
  </si>
  <si>
    <t>E8T</t>
  </si>
  <si>
    <t>S8T</t>
  </si>
  <si>
    <t>G8T</t>
  </si>
  <si>
    <t>P8-BT</t>
  </si>
  <si>
    <t>P8-AT</t>
  </si>
  <si>
    <t>G9T</t>
  </si>
  <si>
    <t>P9-BT</t>
  </si>
  <si>
    <t>P9-AT</t>
  </si>
  <si>
    <t>G10T</t>
  </si>
  <si>
    <t>P10-BT</t>
  </si>
  <si>
    <t>P10-AT</t>
  </si>
  <si>
    <t>G11T</t>
  </si>
  <si>
    <t>P11T</t>
  </si>
  <si>
    <t xml:space="preserve"> - รู้จักบทบาทที่คาดหวังและแสดงความรับผิดชอบตามที่คาดไว้
 - ดำเนินการให้ได้มาซึ่งความรู้ ทักษะ และความเชี่ยวชาญใหม่ ๆ
 - สามารถพัฒนากลยุทธ์และแผนเพื่อขับเคลื่อนธุรกิจได้
</t>
  </si>
  <si>
    <t xml:space="preserve"> ทำงานร่วมกับผู้อื่นได้อย่างมีประสิทธิภาพ รวมถึงสามารถสื่อสารเพื่อจูงใจและโน้มน้าวผู้อื่นได้อย่างเหมาะสมเพื่อนำไปสู่การบรรลุเป้าหมายของบริษัทฯ</t>
  </si>
  <si>
    <t>นำทีม / บริหารผลการปฏิบัติงานของทีมเพื่อบรรลุเป้าหมายตามขอบเขตที่รับผิดชอบ</t>
  </si>
  <si>
    <t xml:space="preserve"> - ทำงานร่วมกับผู้อื่นเพื่อบรรลุเป้าหมายร่วมได้
 - สื่อสาร และ โน้มน้าวผู้อื่นได้อย่างมีประสิทธิภาพ
 - วางแผน, กระตุ้น, สอน, และพัฒนาความสามารถของสมาชิกในทีมได้เป็นอย่างดี</t>
  </si>
  <si>
    <t xml:space="preserve"> - สร้างแนวคิด หรือ ส่งเสริมผู้อื่นให้ดำเนินการเรื่องการปรับปรุงงาน
 - นำแนวคิดไปลงมือปฏิบัติอย่างเป็นรูปธรรม
 - ให้ความรู้ หรือจัดฝึกอบรมให้แก่ผู้อื่น</t>
  </si>
  <si>
    <t xml:space="preserve"> - ปฏิบัติตนสอดคล้องกับกฎระเบียบ และมาตรฐานการปฏิบัติงานเพื่อให้เกิดคุณภาพ
 - ระบุความเสี่ยงในงาน และกำหนดมาตรการป้องกัน
 - ส่งเสริม และตรวจติดตามผู้อื่นในสังกัดของตนให้ปฏิบัติตามมาตรฐานการทำงาน และกฎระเบียบอื่นๆ อย่างเคร่งครัด</t>
  </si>
  <si>
    <t xml:space="preserve">นำความรู้และทักษะไปใช้อย่างมีประสิทธิภาพ  พัฒนาตนเองในลักษณะของการเพิ่มพูนประสิทธิภาพในบทบาทและหน้าที่ที่รับผิดชอบ และแสดงให้เห็นถึงการพัฒนาตนเองอย่างต่อเนื่องในฐานะที่เป็นระดับบริหาร 
</t>
  </si>
  <si>
    <t xml:space="preserve"> ทำงานร่วมกับผู้อื่นได้อย่างมีประสิทธิภาพ รวมถึงสามารถสื่อสารเพื่อจูงใจและโน้มน้าวผู้อื่นได้อย่างเหมาะสมเพื่อนำไปสู่การบรรลุเป้าหมายของฝ่าย (Division)</t>
  </si>
  <si>
    <t xml:space="preserve">นำความรู้และทักษะไปใช้อย่างมีประสิทธิภาพ  พัฒนาตนเองในลักษณะของการเพิ่มพูนประสิทธิภาพในบทบาทและหน้าที่ที่รับผิดชอบ และแสดงให้เห็นถึงการพัฒนาตนเองอย่างต่อเนื่องในฐานะที่เป็นผู้เชี่ยวชาญ
</t>
  </si>
  <si>
    <t xml:space="preserve"> ทำงานร่วมกับผู้อื่นได้อย่างมีประสิทธิภาพ รวมถึงสามารถสื่อสารเพื่อจูงใจและโน้มน้าวผู้อื่นได้อย่างเหมาะสมเพื่อนำไปสู่การบรรลุเป้าหมายในขอบข่ายที่รับผิดชอบ</t>
  </si>
  <si>
    <t>นำทีม / บริหารผลการปฏิบัติงานของทีมเพื่อให้เกิดการขับเคลื่อนผลการดำเนินงานของขอบข่ายที่รับผิดชอบ</t>
  </si>
  <si>
    <t>ทำงานร่วมกับผู้อื่นได้อย่างมีประสิทธิภาพ รวมถึงสามารถสื่อสารเพื่อจูงใจและโน้มน้าวผู้อื่นได้อย่างเหมาะสมเพื่อนำไปสู่การบรรลุเป้าหมายของหลายแผนก / โรงงานที่รับผิดชอบ</t>
  </si>
  <si>
    <t>Effectively co-operate and properly communicate with others to achieve department goals</t>
  </si>
  <si>
    <t>Effectively co-operate and properly communicate with others to achieve departments / factory goals</t>
  </si>
  <si>
    <t>Identify, analyze issue, consider options and develop solutions to correct problem in department</t>
  </si>
  <si>
    <t xml:space="preserve"> ทำงานร่วมกับผู้อื่นได้อย่างมีประสิทธิภาพ รวมถึงสามารถสื่อสารเพื่อจูงใจและโน้มน้าวผู้อื่นได้อย่างเหมาะสมเพื่อนำไปสู่การบรรลุเป้าหมายของแผนกที่รับผิดชอบ</t>
  </si>
  <si>
    <t xml:space="preserve">นำความรู้และทักษะไปใช้อย่างมีประสิทธิภาพ พัฒนาตนเองในลักษณะของการเพิ่มพูนประสิทธิภาพในบทบาทและหน้าที่ที่รับผิดชอบ และแสดงให้เห็นถึงการพัฒนาตนเองอย่างต่อเนื่องในฐานะผู้ปฏิบัติงาน
</t>
  </si>
  <si>
    <t xml:space="preserve">นำความรู้และทักษะไปใช้อย่างมีประสิทธิภาพ พัฒนาตนเองในลักษณะของการเพิ่มพูนประสิทธิภาพในบทบาทและหน้าที่ที่รับผิดชอบ และแสดงให้เห็นถึงการพัฒนาตนเองอย่างต่อเนื่องในฐานะผู้ปฏิบัติงานที่มีประสบการณ์
</t>
  </si>
  <si>
    <t>ทำงานร่วมกับผู้อื่นได้อย่างมีประสิทธิภาพ รวมถึงสามารถสื่อสารเพื่อจูงใจและโน้มน้าวผู้อื่นได้อย่างเหมาะสมในฐานะผู้ปฏิบัติงาน</t>
  </si>
  <si>
    <t>Appraisee</t>
  </si>
  <si>
    <t>Years</t>
  </si>
  <si>
    <t>Upper</t>
  </si>
  <si>
    <t>Lower</t>
  </si>
  <si>
    <t xml:space="preserve"> -</t>
  </si>
  <si>
    <t>P4</t>
  </si>
  <si>
    <t xml:space="preserve">Executes  daily routine operation under standard procedure with close supervision </t>
  </si>
  <si>
    <t>ทำงานร่วมกับผู้อื่นได้อย่างมีประสิทธิภาพ รวมถึงสามารถสื่อสารเพื่อจูงใจและโน้มน้าวผู้อื่นได้อย่างเหมาะสมในฐานะผู้ปฏิบัติงานที่มีประสบการณ์</t>
  </si>
  <si>
    <t>นำสมาชิกในทีม ไปสู่การบรรลุเป้าหมาย์ในขอบข่ายที่รับผิดชอบ</t>
  </si>
  <si>
    <t>คิดวิเคราะห์ เพื่อระบุปัญหา พร้อมกับพิจารณาทางเลือก และพัฒนาวิธีการแก้ปัญหา เพื่อให้สามารถแก้ไขปัญหาที่เกิดขึ้นในฝ่าย (Division)ได้อย่างถูกต้อง</t>
  </si>
  <si>
    <t>คิดวิเคราะห์ เพื่อระบุปัญหา พร้อมกับพิจารณาทางเลือก และพัฒนาวิธีการแก้ปัญหาเพื่อให้สามารถแก้ไขปัญหาที่เกิดขึ้นในบริษัทได้อย่างถูกต้อง</t>
  </si>
  <si>
    <t>คิดวิเคราะห์ เพื่อระบุปัญหา พร้อมกับพิจารณาทางเลือก และพัฒนาวิธีการแก้ปัญหา เพื่อให้สามารถแก้ไขปัญหาที่เกิดขึ้นในกระบวนการทางธุรกิจที่มีความสำคัญได้อย่างถูกต้อง</t>
  </si>
  <si>
    <r>
      <t>คิดวิเคราะห์ เพื่อระบุปัญหา พร้อมกับพิจารณาทางเลือก และพัฒนาวิธีการแก้ปัญหา เพื่อให้สามารถแก้ไขปัญหาที่เกิดขึ้นใน</t>
    </r>
    <r>
      <rPr>
        <b/>
        <sz val="12"/>
        <rFont val="Calibri"/>
        <family val="2"/>
        <scheme val="minor"/>
      </rPr>
      <t>หลายแผนก / โรงงานที่รับผิดชอบ</t>
    </r>
  </si>
  <si>
    <t>คิดวิเคราะห์ เพื่อระบุปัญหา พร้อมกับพิจารณาทางเลือก และพัฒนาวิธีการแก้ปัญหา เพื่อให้สามารถแก้ไขปัญหาที่เกิดขึ้นในแผนกที่รับผิดชอบได้อย่างถูกต้อง</t>
  </si>
  <si>
    <t>คิดวิเคราะห์ เพื่อระบุปัญหา พร้อมกับพิจารณาทางเลือก และพัฒนาวิธีการแก้ปัญหาในงานที่ตนเองได้รับมอบหมาย</t>
  </si>
  <si>
    <t xml:space="preserve"> - สร้างแนวคิด หรือ ส่งเสริมผู้อื่นให้ดำเนินการเรื่องการปรับปรุงงาน
 - นำแนวคิดไปลงมือปฏิบัติอย่างเป็นรูปธรรม
</t>
  </si>
  <si>
    <t xml:space="preserve"> - ปฏิบัติตนสอดคล้องกับกฎระเบียบ และมาตรฐานการปฏิบัติงานเพื่อให้เกิดคุณภาพ
 - ระบุความเสี่ยงในงาน และกำหนดมาตรการป้องกัน</t>
  </si>
  <si>
    <t xml:space="preserve"> - วางแผน, จัดลำดับความสำคัญ, จัดการกับทรัพยากรที่มีอยู่ และสร้างกระบวนการทำงานที่ดีที่สุดเพื่อบรรลุเป้าหมายร่วม
 - นำตนเอง และผู้อื่นมุ่งสู่การบรรลุเป้าหมายร่วม
 - สร้างแรงกระตุ้นให้กับผู้อื่นในฐานะทีมงานเดียวกันเพื่อมุ่งสู่การบรรลุผลสำเร็จของบริษัท</t>
  </si>
  <si>
    <t xml:space="preserve"> - วางแผน, จัดลำดับความสำคัญ, จัดการกับทรัพยากรที่มีอยู่ และสร้างกระบวนการทำงานที่ดีที่สุดเพื่อบรรลุเป้าหมายร่วม
 - นำตนเอง และผู้อื่นมุ่งสู่การบรรลุเป้าหมายร่วม</t>
  </si>
  <si>
    <t xml:space="preserve"> - ทำงานร่วมกับผู้อื่นเพื่อบรรลุเป้าหมายร่วมได้
 - สื่อสาร และ โน้มน้าวผู้อื่นได้อย่างมีประสิทธิภาพ</t>
  </si>
  <si>
    <t xml:space="preserve"> - รู้จักบทบาทที่คาดหวังและแสดงความรับผิดชอบตามที่คาดไว้
 - ดำเนินการให้ได้มาซึ่งความรู้ ทักษะ และความเชี่ยวชาญใหม่ ๆ
</t>
  </si>
  <si>
    <t>ลดความเสี่ยงในกระบวนการปฏิบัติงาน  โดยปรับเปลี่ยนให้สอดคล้องกับกฎระเบียบ แนวปฏิบัติ และมาตรฐานในการปฏิบัติงานของบริษัทฯ รวมไปถึงการกำหนดมาตรการป้องกัน</t>
  </si>
  <si>
    <t>ลดความเสี่ยงที่ซับซ้อนทั้งหมดที่มีอยู่ในบริษัทฯ โดยปรับเปลี่ยนให้สอดคล้องกับกฎระเบียบ แนวปฏิบัติ และมาตรฐานในการปฏิบัติงานของบริษัทฯ รวมไปถึงการกำหนดมาตรการป้องกัน</t>
  </si>
  <si>
    <t>ผลักดันให้ผลการปฏิบัติงานในขอบข่ายความรับผิดชอบเป็นไปตามเป้าหมาย  โดยการระบุ หรือ พัฒนาแนวทางใหม่ๆ เพื่อมุ่งไปข้างหน้า</t>
  </si>
  <si>
    <t>ปรับปรุงผลการดำเนินงานในภาพรวมทั้งหมดที่อยู่ภายใต้ความรับผิดชอบให้เป็นไปตามเป้าหมาย รวมทั้งส่งเสริม ให้ผู้อื่นดำเนินการเช่นเดียวกัน โดยการระบุ หรือ พัฒนาแนวทางใหม่ๆ เพื่อมุ่งไปข้างหน้า</t>
  </si>
  <si>
    <t>คิดวิเคราะห์ เพื่อระบุปัญหา พร้อมกับพิจารณาทางเลือก และพัฒนาวิธีการแก้ปัญหาในขอบข่ายที่รับผิดชอบให้กับผู้อื่น</t>
  </si>
  <si>
    <t>คิดวิเคราะห์ เพื่อระบุปัญหา พร้อมกับพิจารณาทางเลือก และพัฒนาวิธีการมาแก้้ไขปัญหาในงานที่รับผิดชอบ</t>
  </si>
  <si>
    <t xml:space="preserve">Lead/ manage self performance to achieve assigned goals or accomplish assignments </t>
  </si>
  <si>
    <t>นำตนเอง และ จัดการกับงานเพื่อบรรลุเป้าหมายที่กำหนดไว้ หรือ ดำเนินงานที่ได้รับมอบหมายให้แล้วเสร็จ</t>
  </si>
  <si>
    <t>นำตนเอง บริหารจัดการตนเองให้สามารถบรรลุเป้าหมายที่กำหนดไว้ หรือ ดำเนินงานที่ได้รับมอบหมายให้แล้วเสร็จ</t>
  </si>
  <si>
    <t>ปรับปรุงงานที่ตนเองเป็นผู้ได้รับมอบหมายโดยตรง  โดยการชี้บ่งวิธีการปรับปรุง หรือ พัฒนาแนวทางใหม่ๆ เพื่อมุ่งไปข้างหน้า</t>
  </si>
  <si>
    <t>ปรับปรุงหน้างานประจำวันที่่รับผิดชอบ โดยการชี้บ่งวิธีการปรับปรุงุ หรือ พัฒนาแนวทางใหม่ๆ เพื่อมุ่งไปข้างหน้า</t>
  </si>
  <si>
    <t xml:space="preserve"> - คิดเชิงวิเคราะห์เพื่อระบุปัญหา และวิธีการแก้ไข
 - ตัดสินใจภายใต้ขอบเขตของอำนาจที่ได้รับมอบหมาย และดำเนินการแก้ไขปัญหาตามเวลาที่กำหนด
 - ใช้ทรัพยากรที่มีอยู่ในสังกัดของตนให้เกิดประสิทธิภาพ คุณภาพสูงสุด</t>
  </si>
  <si>
    <t xml:space="preserve"> - คิดเชิงวิเคราะห์เพื่อระบุปัญหา และวิธีการแก้ไข
 - ตัดสินใจ ภายใต้ขอบเขตของอำนาจที่ได้รับมอบหมาย และลงมือแก้ไขปัญหาตามเวลาที่กำหนด</t>
  </si>
  <si>
    <t>E</t>
  </si>
  <si>
    <t>Link</t>
  </si>
  <si>
    <t>ร่วมกำหนดแผนกลยุทธ์ระยะกลางถึงระยะยาว (3-5 ปี) และบริหารจัดการความสำเร็จของทุกๆ ฝ่ายงาน เพื่อให้บรรลุเป้าหมายของบริษัทฯ ; ดำเนินการปรับปรุง หรือ เปลี่ยนแปลงอย่างมีนัยสำคัญใน กระบวนการ / ระบบ / ผลิตภัณฑ์ ณ ปัจจุบัน ที่จะส่งผลกระทบต่อฝ่ายงานต่างๆ ; จัดการปัญหาในหลายมิติด้วยอำนาจตามบทบาทและหน้าที่ เพื่อบริหารจัดการทรัพยากรในการดำเนินงาน ทรัพยากรบุคคล และการเงินของทุกฝ่ายงาน ; โน้มน้าวบุคคลทั้งภายในและภายนอกที่เห็นต่างให้เต็มใจยอมรับนโยบายของบริษัทฯ ; พัฒนา M2 (Division Managers) ให้สามารถคิด และลงมือทำได้ด้วยตนเอง พร้อมกับสร้างผู้สืบทอดตำแหน่งไปพร้อมๆ กัน ; มีความรู้ด้านการบริหารจัดการในเชิงกว้างและมากพอ  ครอบคลุมทุกฝ่ายงาน และมีทักษะในการกำกับดูแลกลุ่มผู้จัดการทั้งหมด</t>
  </si>
  <si>
    <t>จัดทำแผนกลยุทธ์ระยะสั้นถึงระยะกลาง (1-3ปี) และบริหารจัดการการบรรลุผลสำเร็จตามเป้าหมายของฝ่ายงานที่รับผิดชอบ ; ปรับปรุง เปลี่ยนแปลงอย่างมีนัยสำคัญใน กระบวนการ / ระบบ / ผลิตภัณฑ์ ทีมีอยู่ณ ปัจจุบัน ที่จะส่งผลกระทบต่อฝ่ายงานที่รับผิดชอบ ; จัดการปัญหาทางธุรกิจที่ซับซ้อนมากขึ้นด้วยอำนาจตามบทบาทและหน้าที่ เพื่อบริหารทรัพยากรในการดำเนินงาน รวมถึงบุคลากร และการเงินของฝ่ายงานที่รับผิดชอบซึ่งมีอยู่จำกัด ; โน้มน้าวบุคคลทั้งภายในและภายนอกที่เห็นต่างให้เต็มใจยอมรับนโยบายของฝ่าย ; พัฒนา M3 หรือ Senior Manager ให้สามารถคิด และลงมือทำได้ด้วยตนเอง พร้อมกับสร้างผู้สืบทอดตำแหน่งไปพร้อมๆ กัน ; มีความรู้ในเชิงกว้างครอบคลุมทุกส่วนในฝ่ายงานที่รับผิดชอบ และมีทักษะในการกำกับดูแลกลุ่มผู้จัดการ</t>
  </si>
  <si>
    <t>บริหารโครงการริเริ่มขนาดใหญ่ ที่จะสร้างคุณค่า หรือเป็นประโยชน์อย่างมีนัยสำคัญต่อการดำเนินงานของบริษัทฯ ในภาพรวม เพื่อให้บรรลุผลสำเร็จตามเป้าหมายสำคัญที่โครงการกำหนดไว้ ; เพิ่มระดับความสำเร็จของกระบวนการ / ระบบ / ผลิตภัณฑ์ที่มีอยู่ เพื่อยกระดับผลการดำเนินงานขององค์กรให้ดีขึ้น ; จัดการปัญหาทางธุรกิจ ด้วยอำนาจเท่าที่ได้รับมอบหมาย เพื่อบริหารทรัพยากรในการดำเนินงาน, รวมถึงทรัพยากรบุคคลากร หรือการเงินของโครงการที่ริเริ่มนั้นๆ ซึ่งมีอยู่จำกัด ; โน้มน้าวบุคคลภายในและภายนอกที่มีความเห็นต่างให้เกิดการยอมรับในนโยบายของโครงการที่ริเริ่มนั้นๆ ; แบ่งปันความรู้ และพัฒนาผู้อื่นให้สามารถคิดและดำเนินการได้ด้วยตนเอง ; มีความรู้ที่ได้รับการพัฒนามาเป็นอย่างดีและเป็นความรู้ระดับก้าวหน้าเพื่อบริหารจัดการโครงการที่ได้รับมอบหมาย และมีทักษะในการจัดการสมาชิกในทีม</t>
  </si>
  <si>
    <t>จัดทำแผนระยะสั้น 1 ปี และบริหารจัดการความสำเร็จของหลายแผนก / โรงงานที่กำกับดูแล ; ปรับปรุง ปรับเปลี่ยน กระบวนการ / ระบบ / ผลิตภัณฑ์ ที่มีอยู่ ณ ปัจจุบันอย่างมีนัยสำคัญ เพื่อยกระดับผลการดำเนินงานของหลายแผนก / โรงงานที่กำกับดูแล ; จัดการปัญหาทางธุรกิจที่ซับซ้อน ด้วยอำนาจตามบทบาทและหน้าที่ เพื่อบริหารทรัพยากรในการดำเนินงาน รวมถึงทรัพยากรบุคคล และการเงินซึ่งมีอยู่จำกัดของหลายแผนก / โรงงานที่กำกับดูแล ; โน้มน้าวบุคคลทั้งภายในและภายนอกที่ไม่เต็มใจยอมรับนโยบายของหลายแผนก / โรงงานที่กำกับดูแล ให้หันมาร่วมมือและให้การสนับสนุน ; พัฒนา M4 หรือ Managers ให้สามารถคิด และลงมือทำได้ด้วยตนเอง พร้อมกับสร้างผู้สืบทอดตำแหน่งไปพร้อมๆ กัน ; มีความรู้ทั้งในเชิงกว้างและเชิงลึก ครอบคลุมทุกแผนก หรือ โรงงานที่รับผิดชอบ และมีทักษะในการกำกับดูแล กลุ่มผู้จัดการ</t>
  </si>
  <si>
    <t>บริหารโครงการริเริ่มขนาดใหญ่ ที่จะสร้างคุณค่า หรือเป็นประโยชน์อย่างมีนัยสำคัญต่อฝ่ายงานหนึ่ง เพื่อให้บรรลุผลสำเร็จตามเป้าหมายที่โครงการกำหนดไว้ ; เพิ่มระดับความสำเร็จให้กับกระบวนการ / ระบบ / ผลิตภัณฑ์ที่มีอยู่ เพื่อยกระดับผลการดำเนินงานของฝ่ายให้ดีขึ้น ; จัดการปัญหาทางธุรกิจ ด้วยอำนาจเท่าที่ได้รับมอบหมาย เพื่อบริหารทรัพยากรในการดำเนินงาน, รวมถึงทรัพยากรบุคคลากร หรือการเงินของโครงการที่ริเริ่มนั้นๆ ซึ่งมีอยู่จำกัด ; โน้มน้าวบุคคลภายในและภายนอกที่ไม่เต็มใจยอมรับนโยบายของโครงการให้เกิดการยอมรับและให้ความร่วมมือ ;  แบ่งปันความรู้ และพัฒนาผู้อื่นให้สามารถคิดและดำเนินการได้ด้วยตนเอง ; มีความรู้ที่ได้รับการพัฒนามาเป็นอย่างดี และมีความรู้กว้าง เพื่อใช้บริหารจัดการโครงการที่ได้รับมอบหมาย และมีทักษะในการจัดการสมาชิกในทีม</t>
  </si>
  <si>
    <t>จัดทำแผนการปฎิบัติงาน (1ปี) และบริหารจัดการแผนกที่รับผิดชอบเพื่อให้บรรลุเป้าหมายที่กำหนดไว้ ; เพิ่มระดับความสำเร็จให้กับกระบวนการ / ระบบ / ผลิตภัณฑ์ ที่มีอยู่ เพื่อยกระดับผลการดำเนินงานของแผนกให้ดีขึ้น ; จัดการปัญหาทางธุรกิจ ด้วยอำนาจตามบทบาทและหน้าที่ เพื่อบริหารจัดการทรัพยากรในการดำเนินงาน รวมถึงทรัพยากรบุคคล และการเงินซึ่งมีอยู่จำกัดในแผนกที่รับผิดชอบ ; โน้มน้าวบุคคลภายในและภายนอกที่ไม่เต็มใจยอมรับนโยบายของแผนกให้เกิดการยอมรับและให้ความร่วมมือ ; พัฒนา Section Manager และ Assistant Manager รวมถึงสร้างผู้สืบทอดตำแหน่ง ; มีความรู้ทั้งในเชิงกว้างและเชิงลึก ครอบคลุมแผนกที่รับผิดชอบ และมีทักษะในการกำกับดูแลกลุ่มผู้จัดการ</t>
  </si>
  <si>
    <t>บริหารโครงการริเริ่ม ที่จะสร้างคุณค่า หรือเป็นประโยชน์อย่างมีนัยสำคัญต่อหลายแผนก / โรงงานแห่งหนึ่งแห่งใด เพื่อให้บรรลุผลสำเร็จตามเป้าหมายที่โครงการกำหนดไว้ ; เพิ่มระดับความสำเร็จให้กับกระบวนการ / ระบบ / ผลิตภัณฑ์ที่มีอยู่ เพื่อยกระดับผลการดำเนินงานหลายแผนก / โรงงานแห่งหนึ่งแห่งใด ให้ดีขึ้น ; จัดการปัญหาทางธุรกิจ ด้วยอำนาจตามที่ได้รับมอบหมาย เพื่อบริหารทรัพยากรในการดำเนินงาน, รวมถึงทรัพยากรบุคคลากร หรือการเงินของโครงการที่ริเริ่มนั้นๆ ซึ่งมีอยู่จำกัด ; โน้มน้าวบุคคลภายในและภายนอกที่ไม่เต็มใจยอมรับนโยบายของโครงการให้เกิดการยอมรับและให้ความร่วมมือ ;  แบ่งปันความรู้ และพัฒนาผู้อื่นให้สามารถคิดและดำเนินการได้ด้วยตนเอง ; มีความรู้ที่ได้รับการพัฒนามาเป็นอย่างดี เพื่อใช้บริหารจัดการโครงการที่ได้รับมอบหมาย และมีทักษะในการจัดการสมาชิกในทีม</t>
  </si>
  <si>
    <t>จัดการงานประจำให้สำเร็จลุล่วงตามมาตรฐานการทำงานที่กำหนดไว้ภายใต้การกำกับดูแลอย่างใกล้ชิด ; ทำงานตามมาตรฐานการปฏิบัติงานที่มีอยู่ ณ ปัจจุบัน ; หากพบความผิดพลาด หรือเหตุการณ์ที่เกือบทำให้เกิดความผิดพลาดในหน้างานที่รับผิดชอบให้รายงานหัวหน้างานทันที ; ให้ข้อมูลพื้นฐานที่เกี่ยวกับงานที่ตนเองรับผิดชอบแก่ผู้มีส่วนเกี่ยวข้องหลักภายในได้ ; แบ่งปันความรู้ในงานที่ทำกับผู้อื่น ; มีความรู้ หรือ ประสบการณ์ที่ค่อนข้างจำกัด</t>
  </si>
  <si>
    <t>จัดการหน้างานประจำวันให้สำเร็จลุล่วงตามมาตรฐานการทำงานที่กำหนดไว้ภายใต้การกำกับดูแลจากหัวหน้างานอย่างใกล้ชิด ; ทำงานตามมาตรฐานการปฏิบัติงานที่มีอยู่ ณ ปัจจุบัน ; หากพบความผิดพลาด หรือเหตุการณ์ที่เกือบทำให้เกิดความผิดพลาดในหน้างานที่รับผิดชอบให้รายงานหัวหน้างานทันที ; ให้ข้อมูลพื้นฐานที่เกี่ยวกับงานที่ตนเองรับผิดชอบแก่ผู้มีส่วนเกี่ยวข้องหลักภายในได้ ; แบ่งปันความรู้ในงานที่ทำกับผู้อื่น ; มีความรู้ หรือ ประสบการณ์ที่ค่อนข้างจำกัด</t>
  </si>
  <si>
    <t>จัดการงานประจำให้สำเร็จลุล่วงภายใต้การกำกับดูแลในระดับปานกลาง ; ปฏิบัติงาน และ ทำการตรวจสอบเพื่อให้เป็นไปตามมาตรฐานการปฏิบัติงานที่มีอยู่ ณ ปัจจุบัน ; หากพบความผิดพลาด หรือเหตุการณ์ที่เกือบทำให้เกิดความผิดพลาดในขอบเขตการทำงานที่รับผิดชอบให้รายงานหัวหน้างานทันที ; ให้ข้อมูลพื้นฐานที่เกี่ยวกับงานที่ตนเองรับผิดชอบ รวมถึงอธิบายข้อเสนอแนะของตนเองแก่ผู้มีส่วนเกี่ยวข้องหลักภายในได้ ; แบ่งปันความรู้ในงานที่ทำกับผู้อื่น ; มีความรู้ และ ประสบการณ์ระดับพื้นฐานในขอบเขตงานหนึ่ง</t>
  </si>
  <si>
    <t>- Executes assignments with limited supervision within the job area
- Checks and corrects problem in  exiting operation systems or  processes, Solves well-defined operational issues in a assigned area, Explains facts, practices, policies to primary internal partiesGuides job knowledge to lower level
- Has practical job knowledge within one job area</t>
  </si>
  <si>
    <t>จัดการกับงานที่ได้รับมอบหมายตามขอบเขตงานให้สำเร็จลุล่วงภายใต้การกำกับดูแลที่จำกัด ; ตรวจสอบ และ แก้ไขปัญหาในระบบปฏิบัติการ หรือ กระบวนการทำงานที่มีอยู่ ณ ปัจจุบัน ; แก้ไขปัญหาในงานที่มีการระบุไว้แล้วอย่างชัดเจนในขอบเขตที่ได้รับมอบหมาย ; อธิบายเกี่ยวกับข้อเท็จจริง แนวปฏิบัติ นโยบายแก่้ผู้มีส่วนเกี่ยวข้องหลักภายในได้ ; ให้คำชี้แนะเกี่ยวกับความรู้ในงานแก่ระดับที่ต่ำกว่า ; มีความรู้เกี่ยวกับงานในเชิงปฏิบัติในขอบเขตงานหนึ่ง</t>
  </si>
  <si>
    <t>จัดการกับงานระดับพื้นฐานที่ได้รับมอบหมายตามขอบเขตงานให้สำเร็จลุล่วงภายใต้การกำกับดูแลทั่วไป ; ตรวจสอบระบบปฏิบัติการ หรือ กระบวนการทำงานที่มีอยู่ ณ ปัจจุบัน ; แก้ไขปัญหาในงานที่มีการระบุไว้แล้วอย่างชัดเจนในขอบเขตที่ได้รับมอบหมาย ; อธิบายเกี่ยวกับข้อเท็จจริง แนวการปฏิบัติ นโยบายแก่้ผู้มีส่วนเกี่ยวข้องหลักภายในได้ ; ให้คำชี้แนะเกี่ยวกับความรู้ในงานแก่ระดับที่ต่ำกว่า ; มีความรู้เกี่ยวกับงานในเชิงทฤษฎีในขอบเขตงานหนึ่ง</t>
  </si>
  <si>
    <t>จัดการกับงานสำคัญที่ได้รับมอบหมายตามขอบเขตงานให้สำเร็จลุล่วงได้โดยลำพัง ; ปรับเปลี่ยน หรือ ตรวจสอบ พร้อมทั้งแก้ไขปัญหาในระบบปฏิบัติการ หรือ กระบวนการทำงานที่มีอยู่ ณ ปัจจุบัน ; แก้ไขปัญหาในการปฏิบัติงานด้วยอำนาจที่มีอยู่อย่างจำกัด เพื่อจัดการทรัพยากรการดำเนินงานในขอบเขตที่ได้รับมอบหมาย ; โน้มน้าวหรืออธิบายข้อเท็จจริง แนวปฏิบัติ นโยบาย ต่อบุคคลที่เกี่ยวข้องทั้งภายในและภายนอก ; สอนความรู้ในงานให้แก่ระดับที่ต่ำกว่า ; มีความรู้ระดับก้าวหน้าในขอบเขตงานหนึ่ง</t>
  </si>
  <si>
    <t>กำหนดเป้าหมายในการทำงานให้กับสมาชิกในทีมเพื่อให้บรรลุผลการดำเนินงานและเป้าหมายของทีม ; ปรับเปลี่ยน หรือ เพิ่มระดับความสำเร็จในด้านคุณภาพและคุณค่าให้กับกระบวนการทำงานที่มีอยู่ให้ดีกว่าเดิม เพื่อเป็นการเพิ่มผลิตภาพให้กับทีม ; แก้ไขปัญหาในการปฏิบัติงานด้วยอำนาจที่มีอยู่อย่างจำกัดเพื่อบริหารทรัพยากรในการดำเนินงานในขอบเขตที่ได้รับมอบหมาย ; โน้มน้าวผู้ที่มีส่วนเกี่ยวข้องทั้งภายในและภายนอกให้ยอมตกลง ยอมรับในแนวคิด แนวปฏิบัติ หรือวิธีการใหม่ๆ ; ให้คำปรึกษาและพัฒนาสมาชิกในทีมให้แต่ละคนสามารถคิด และทำงานได้ด้วยตนเอง ; มีความรู้ในงานที่ได้รับการพัฒนามาเป็นอย่างดี เพื่อบริหารการทำงานของทีม และมีทักษะในการกำกับดูแลสมาชิกในทีม</t>
  </si>
  <si>
    <t>ร่วมกำหนดแผนการปฎิบัติงาน (1ปี) และบริหารจัดการส่วน (Section) ที่รับผิดชอบเพื่อให้บรรลุเป้าหมายที่กำหนดไว้ ; ปรับเปลี่ยน หรือ เพิ่มระดับความสำเร็จในด้านคุณภาพและคุณค่าให้กับกระบวนการทำงานที่มีอยู่ให้ดีกว่าเดิม เพื่อเป็นการเพิ่มผลิตภาพให้กับทีม ; แก้ไขปัญหาในการปฏิบัติงานด้วยอำนาจที่มีอยู่อย่างจำกัดเพื่อบริหารทรัพยากรในการดำเนินงานในขอบเขตที่ได้รับมอบหมาย ; โน้มน้าวผู้ที่มีส่วนเกี่ยวข้องทั้งภายในและภายนอกให้ยอมตกลง ยอมรับในแนวคิด แนวปฏิบัติ หรือวิธีการใหม่ๆ ; ให้คำปรึกษาและพัฒนาสมาชิกในทีมให้แต่ละคนสามารถคิด และทำงานได้ด้วยตนเอง ; มีความรู้ในงานที่ได้รับการพัฒนามาเป็นอย่างดี เพื่อบริหารการทำงานของทีม และมีทักษะในการกำกับดูแลสมาชิกในทีม</t>
  </si>
  <si>
    <t>MBO (Initiative)</t>
  </si>
  <si>
    <t>MBO Regular</t>
  </si>
  <si>
    <t>6 Factors</t>
  </si>
  <si>
    <t>Total MBO</t>
  </si>
  <si>
    <t>(ระบุชื่อและตำแหน่งของผู้ประเมินคนที่ 2)</t>
  </si>
  <si>
    <r>
      <t>1</t>
    </r>
    <r>
      <rPr>
        <vertAlign val="superscript"/>
        <sz val="22"/>
        <rFont val="Calibri"/>
        <family val="2"/>
        <scheme val="minor"/>
      </rPr>
      <t xml:space="preserve">st </t>
    </r>
    <r>
      <rPr>
        <sz val="22"/>
        <rFont val="Calibri"/>
        <family val="2"/>
        <scheme val="minor"/>
      </rPr>
      <t>Appraiser</t>
    </r>
  </si>
  <si>
    <r>
      <t>2</t>
    </r>
    <r>
      <rPr>
        <vertAlign val="superscript"/>
        <sz val="22"/>
        <rFont val="Calibri"/>
        <family val="2"/>
        <scheme val="minor"/>
      </rPr>
      <t>nd</t>
    </r>
    <r>
      <rPr>
        <sz val="22"/>
        <rFont val="Calibri"/>
        <family val="2"/>
        <scheme val="minor"/>
      </rPr>
      <t xml:space="preserve"> Appraiser</t>
    </r>
  </si>
  <si>
    <r>
      <t>1</t>
    </r>
    <r>
      <rPr>
        <vertAlign val="superscript"/>
        <sz val="22"/>
        <rFont val="Calibri"/>
        <family val="2"/>
        <scheme val="minor"/>
      </rPr>
      <t>st</t>
    </r>
    <r>
      <rPr>
        <sz val="22"/>
        <rFont val="Calibri"/>
        <family val="2"/>
        <scheme val="minor"/>
      </rPr>
      <t xml:space="preserve"> Appraisal Assessment
(ประเมินโดยผู้ประเมินคนที่ 1)</t>
    </r>
  </si>
  <si>
    <r>
      <t>2</t>
    </r>
    <r>
      <rPr>
        <vertAlign val="superscript"/>
        <sz val="22"/>
        <rFont val="Calibri"/>
        <family val="2"/>
        <scheme val="minor"/>
      </rPr>
      <t>nd</t>
    </r>
    <r>
      <rPr>
        <sz val="22"/>
        <rFont val="Calibri"/>
        <family val="2"/>
        <scheme val="minor"/>
      </rPr>
      <t xml:space="preserve"> Appraisal Assessment
(ประเมินโดยผู้ประเมินคนที่ 2)</t>
    </r>
  </si>
  <si>
    <r>
      <t>1</t>
    </r>
    <r>
      <rPr>
        <vertAlign val="superscript"/>
        <sz val="20"/>
        <rFont val="Calibri"/>
        <family val="2"/>
        <scheme val="minor"/>
      </rPr>
      <t>st</t>
    </r>
    <r>
      <rPr>
        <sz val="20"/>
        <rFont val="Calibri"/>
        <family val="2"/>
        <scheme val="minor"/>
      </rPr>
      <t>-Half Assessment : การประเมินช่วงครึ่งปีแรก</t>
    </r>
  </si>
  <si>
    <r>
      <t>2</t>
    </r>
    <r>
      <rPr>
        <vertAlign val="superscript"/>
        <sz val="20"/>
        <rFont val="Calibri"/>
        <family val="2"/>
        <scheme val="minor"/>
      </rPr>
      <t>nd</t>
    </r>
    <r>
      <rPr>
        <sz val="20"/>
        <rFont val="Calibri"/>
        <family val="2"/>
        <scheme val="minor"/>
      </rPr>
      <t>-Half Assessment:การประเมินช่วงครึ่งปีหลัง</t>
    </r>
  </si>
  <si>
    <r>
      <t>1</t>
    </r>
    <r>
      <rPr>
        <b/>
        <vertAlign val="superscript"/>
        <sz val="22"/>
        <rFont val="Calibri"/>
        <family val="2"/>
        <scheme val="minor"/>
      </rPr>
      <t>st</t>
    </r>
    <r>
      <rPr>
        <b/>
        <sz val="22"/>
        <rFont val="Calibri"/>
        <family val="2"/>
        <scheme val="minor"/>
      </rPr>
      <t>-Half Assessment for Mid-Year Bonus (การประเมินผลช่วงครึ่งปีแรก ม.ค. ถึง มิ.ย. เพื่อจ่ายโบนัสกลางปี)</t>
    </r>
  </si>
  <si>
    <r>
      <t>1</t>
    </r>
    <r>
      <rPr>
        <b/>
        <vertAlign val="superscript"/>
        <sz val="20"/>
        <rFont val="Calibri"/>
        <family val="2"/>
        <scheme val="minor"/>
      </rPr>
      <t>st</t>
    </r>
    <r>
      <rPr>
        <b/>
        <sz val="20"/>
        <rFont val="Calibri"/>
        <family val="2"/>
        <scheme val="minor"/>
      </rPr>
      <t xml:space="preserve"> Appraiser</t>
    </r>
  </si>
  <si>
    <r>
      <t>2</t>
    </r>
    <r>
      <rPr>
        <b/>
        <vertAlign val="superscript"/>
        <sz val="20"/>
        <rFont val="Calibri"/>
        <family val="2"/>
        <scheme val="minor"/>
      </rPr>
      <t>nd</t>
    </r>
    <r>
      <rPr>
        <b/>
        <sz val="20"/>
        <rFont val="Calibri"/>
        <family val="2"/>
        <scheme val="minor"/>
      </rPr>
      <t xml:space="preserve"> Appraiser</t>
    </r>
  </si>
  <si>
    <r>
      <t>1</t>
    </r>
    <r>
      <rPr>
        <vertAlign val="superscript"/>
        <sz val="22"/>
        <rFont val="Calibri"/>
        <family val="2"/>
        <scheme val="minor"/>
      </rPr>
      <t>st</t>
    </r>
    <r>
      <rPr>
        <sz val="22"/>
        <rFont val="Calibri"/>
        <family val="2"/>
        <scheme val="minor"/>
      </rPr>
      <t>-Half Assessment for Mid-Year Bonus (การประเมินผลช่วงครึ่งปีแรก ม.ค. ถึง มิ.ย. เพื่อจ่ายโบนัสกลางปี)</t>
    </r>
  </si>
  <si>
    <r>
      <t>2</t>
    </r>
    <r>
      <rPr>
        <vertAlign val="superscript"/>
        <sz val="22"/>
        <rFont val="Calibri"/>
        <family val="2"/>
        <scheme val="minor"/>
      </rPr>
      <t>nd</t>
    </r>
    <r>
      <rPr>
        <sz val="22"/>
        <rFont val="Calibri"/>
        <family val="2"/>
        <scheme val="minor"/>
      </rPr>
      <t>-Half Assessment for Year-End Bonus (การประเมินผลช่วงครึ่งปีหลัง ก.ค. ถึง ธ.ค. เพื่อจ่ายโบนัสปลายปี)</t>
    </r>
  </si>
  <si>
    <r>
      <t>2</t>
    </r>
    <r>
      <rPr>
        <b/>
        <vertAlign val="superscript"/>
        <sz val="22"/>
        <rFont val="Calibri"/>
        <family val="2"/>
        <scheme val="minor"/>
      </rPr>
      <t>nd</t>
    </r>
    <r>
      <rPr>
        <b/>
        <sz val="22"/>
        <rFont val="Calibri"/>
        <family val="2"/>
        <scheme val="minor"/>
      </rPr>
      <t>-Half Assessment for Year-End Bonus (การประเมินผลช่วงครึ่งปีหลัง ก.ค. ถึง ธ.ค. เพื่อจ่ายโบนัสปลายปี)</t>
    </r>
  </si>
  <si>
    <r>
      <t>1</t>
    </r>
    <r>
      <rPr>
        <vertAlign val="superscript"/>
        <sz val="22"/>
        <rFont val="Calibri"/>
        <family val="2"/>
        <scheme val="minor"/>
      </rPr>
      <t>st</t>
    </r>
    <r>
      <rPr>
        <sz val="22"/>
        <rFont val="Calibri"/>
        <family val="2"/>
        <scheme val="minor"/>
      </rPr>
      <t xml:space="preserve"> Appriaser</t>
    </r>
  </si>
  <si>
    <r>
      <t>[For 1</t>
    </r>
    <r>
      <rPr>
        <vertAlign val="superscript"/>
        <sz val="22"/>
        <color theme="0"/>
        <rFont val="Calibri"/>
        <family val="2"/>
        <scheme val="minor"/>
      </rPr>
      <t>st</t>
    </r>
    <r>
      <rPr>
        <sz val="22"/>
        <color theme="0"/>
        <rFont val="Calibri"/>
        <family val="2"/>
        <scheme val="minor"/>
      </rPr>
      <t xml:space="preserve"> Appraiser and HR] Training and Development Plan, only for 2</t>
    </r>
    <r>
      <rPr>
        <vertAlign val="superscript"/>
        <sz val="22"/>
        <color theme="0"/>
        <rFont val="Calibri"/>
        <family val="2"/>
        <scheme val="minor"/>
      </rPr>
      <t>nd</t>
    </r>
    <r>
      <rPr>
        <sz val="22"/>
        <color theme="0"/>
        <rFont val="Calibri"/>
        <family val="2"/>
        <scheme val="minor"/>
      </rPr>
      <t xml:space="preserve"> half-evaluation</t>
    </r>
  </si>
  <si>
    <r>
      <t>[For 1</t>
    </r>
    <r>
      <rPr>
        <vertAlign val="superscript"/>
        <sz val="22"/>
        <color theme="0"/>
        <rFont val="Calibri"/>
        <family val="2"/>
        <scheme val="minor"/>
      </rPr>
      <t>st</t>
    </r>
    <r>
      <rPr>
        <sz val="22"/>
        <color theme="0"/>
        <rFont val="Calibri"/>
        <family val="2"/>
        <scheme val="minor"/>
      </rPr>
      <t xml:space="preserve"> Appraiser] Discussion for further development, only for 2</t>
    </r>
    <r>
      <rPr>
        <vertAlign val="superscript"/>
        <sz val="22"/>
        <color theme="0"/>
        <rFont val="Calibri"/>
        <family val="2"/>
        <scheme val="minor"/>
      </rPr>
      <t>nd</t>
    </r>
    <r>
      <rPr>
        <sz val="22"/>
        <color theme="0"/>
        <rFont val="Calibri"/>
        <family val="2"/>
        <scheme val="minor"/>
      </rPr>
      <t xml:space="preserve"> half - Evaluation</t>
    </r>
  </si>
  <si>
    <t>Performance Appraisal - Management by Objective (MBO) Form</t>
  </si>
  <si>
    <t>Code</t>
  </si>
  <si>
    <t>รหัสพนักงาน</t>
  </si>
  <si>
    <t>Part 1 : Initial &amp; Improvement (Total weight for Part 1 must be</t>
  </si>
  <si>
    <t>MBO (Goal) : 1</t>
  </si>
  <si>
    <t>MBO (Goal) : 2</t>
  </si>
  <si>
    <t>MBO (Goal) : 3</t>
  </si>
  <si>
    <t>MBO (Goal) : 4</t>
  </si>
  <si>
    <t>MBO (Goal) : 5</t>
  </si>
  <si>
    <t>Sub Total</t>
  </si>
  <si>
    <r>
      <t>1</t>
    </r>
    <r>
      <rPr>
        <vertAlign val="superscript"/>
        <sz val="22"/>
        <rFont val="Calibri"/>
        <family val="2"/>
        <scheme val="minor"/>
      </rPr>
      <t>st</t>
    </r>
    <r>
      <rPr>
        <sz val="22"/>
        <rFont val="Calibri"/>
        <family val="2"/>
        <scheme val="minor"/>
      </rPr>
      <t>-Half Assessment for Mid-Year Bonus 
(การประเมินผลช่วงครึ่งปีแรก ม.ค. ถึง มิ.ย. เพื่อจ่ายโบนัสกลางปี)</t>
    </r>
  </si>
  <si>
    <t>Achieved numeric value / condition
ระบุตัวเลข / ลักษณะ ที่บอกถึงความสำเร็จตามเป้าหมาย</t>
  </si>
  <si>
    <t>Part 2 : Regular Work  (Total weight for Part 2 must be</t>
  </si>
  <si>
    <t>%</t>
  </si>
  <si>
    <t>Goal : Quatitative / Qualitative
(What are you expected to achieve?)
เป้าหมาย : ทั้งเชิงปริมาณและเชิงคุณภาพ (สิ่งที่คุณถูกคาดหวังให้ดำเนินการจนสำเร็จ)</t>
  </si>
  <si>
    <t>No.
ลำดับ</t>
  </si>
  <si>
    <t>Weight
(%)
น้ำหนัก</t>
  </si>
  <si>
    <t>Grand Total</t>
  </si>
  <si>
    <t>1st Appraiser</t>
  </si>
  <si>
    <t>2nd Appraiser</t>
  </si>
  <si>
    <t>Fully meet expected achievement result</t>
  </si>
  <si>
    <t>Partially meet expected achievement result</t>
  </si>
  <si>
    <t>Rarely meet expected achievement result</t>
  </si>
  <si>
    <t>Exceed expected achievement result</t>
  </si>
  <si>
    <t>Far exceed expected achievement result</t>
  </si>
  <si>
    <t>ทำได้มากกว่าผลลัพธ์ที่คาดหวังไปมาก</t>
  </si>
  <si>
    <t>ทำได้มากกว่าผลลัพธ์ที่คาดหวังไว้</t>
  </si>
  <si>
    <t>ทำได้ตามผลลัพธ์ที่คาดหวังไว้ทั้งหมด</t>
  </si>
  <si>
    <t>ทำได้ตามผลลัพธ์ที่คาดหวังไว้เพียงบางส่วน</t>
  </si>
  <si>
    <t>แทบจะไม่เป็นไปผลลัพธ์ที่คาดหวัง</t>
  </si>
  <si>
    <t>Approval sign for mutual agreement on below performance rating
ลงลายมือชื่อเพื่อแสดงถึงความเข้าใจและตกลงร่วมกันในผลของการประเมินด้านล่างนี้</t>
  </si>
  <si>
    <r>
      <t xml:space="preserve">Approval sign for mutual agreement on MBO (goals) below to be used in measurement
</t>
    </r>
    <r>
      <rPr>
        <sz val="20"/>
        <rFont val="Calibri"/>
        <family val="2"/>
        <scheme val="minor"/>
      </rPr>
      <t>ลงลายมือชื่อเพื่อแสดงความเข้าใจและตกลงร่วมกันในการนำเป้าหมายที่กำหนดไว้ด้านล่างนี้มาใช้ในการวัดผลการปฏิบัติงาน</t>
    </r>
  </si>
  <si>
    <t>For setting as the beginning of the year : 
สำหรับการกำหนดในช่วงต้นปี</t>
  </si>
  <si>
    <t>For Mid-year review and revise (if any) : 
สำหรับการทบทวนช่วงกลางปี และ การปรับแก้ไข (ถ้ามี)</t>
  </si>
  <si>
    <t>Emloyee Signature
พนักงานลงลายมือชื่อ</t>
  </si>
  <si>
    <t>Remarks : Instruction for MBO (คำแนะนำในการกรอกแบบฟอร์ม MBO)</t>
  </si>
  <si>
    <t>1.  Fill in individual information (name, position, grade, department /section, and the appraisal period) under appropriate columns กรอกรายละเอียดส่วนบุคคล (ชื่อ, ตำแหน่งาน, เกรด, แผนก/หน่วยงาน, และช่วงเวลาของการประเมินผล)</t>
  </si>
  <si>
    <t xml:space="preserve">2.  Re-visit and confirm updated objectives of one's  company/department/section 
ทบทวนและยืนยันนโยบาย/เป้าหมายที่เป็นปัจจุบันของหน่วยงาน/ แผนก/ บริษัทฯ </t>
  </si>
  <si>
    <t>3.  Fill in definition of current grade level  in order to promote accuracy in objective setting and result measuring in appropriate level  เติมคำจำกัดความที่เป็นบทบาทหน้าที่ของเกรดปัจจุบัน เพื่อให้แน่ใจว่าจะทำให้การกำหนดเป้าหมายมีความถูกต้อง และการกำหนดตัวชี้วัดมีความเหมาะสมกับระดับเกรดปัจจุบัน</t>
  </si>
  <si>
    <t>6.  Set the starting date and  completed date for each objective in order to understand  the actual time to complete the objective.   กำหนดวันเริ่มต้น และวันเสร็จสิ้นของแต่ละเป้าหมายเพื่อให้ทราบเวลาที่ใช้ไปจริงๆ ในการทำเป้าหมายให้สำเร็จ</t>
  </si>
  <si>
    <t>4. Fill in objectives under appropriate category (Part I : Common goal, Part II : Individual accountability) กำหนดเป้าหมายแต่ละหมวดหมู่อย่างเหมาะสม (ส่วนที่ 1 : เป้าหมายร่วม หรือ งานปรับปรุง งานริเริ่มที่ส่งเสริมเป้าหมายโดยรวมของแผนก ส่วนที่ 2 : ความรับผิดชอบหรืองานประจำที่ได้รับมอบหมายของแต่ละบุคคล)</t>
  </si>
  <si>
    <t>5.  Fill in action plans required for objective realization by clearly indicating "how" &amp; "by when" &amp; "with whom" written objectives will be carried out.  บรรยายแผนงานที่จะดำเนินการ โดยจะต้องระบุข้อความให้ชัดเจน ว่าจะทำอย่างไร และ จะแล้วเสร็จเมื่อไร รวมถึง ร่วมดำเนินการกับใคร เพื่อให้เป้าหมายที่กำหนดไว้นั้นบรรลุผลสำเร็จลงได้</t>
  </si>
  <si>
    <t>7.  Set and agree achievement measuring criteria (what are the expected results and how will they be measured) during objective setting session with appraiser.  กำหนดและหาข้อตกลงของเงื่อนไขในการชี้วัดความสำเร็จ (สิ่งที่เป็นผลลัพธ์ที่คาดหวังคืออะไร และจะวัดความสำเร็จของผลลัพธ์ที่คาดหวังนั้นได้อย่างไร)</t>
  </si>
  <si>
    <t>8.  Assign weight to each objective to indicate priority / importance (total will be added up to 100%) 
กำหนดน้ำหนักของเป้าหมายแต่ละตัว เพื่อให้เห็นถึงความสำคัญ และลำดับก่อนหลัง (รวมแล้วเป็น 100%)</t>
  </si>
  <si>
    <t>9.  Apraisee and appraiser review and update status of each objective before appraisal period. 
ผู้ถูกประเมิน และ ผู้ประเมิน จะต้องทำการทบทวน และบันทึกสถานะปัจจุบัน หรือความคืบหน้าของแต่ละเป้าหมายก่อนถึงรอบการประเมิน</t>
  </si>
  <si>
    <t>12.  Submit MBO form for approval, 2nd evaluation result to be shown under "2nd Appraiser" column  and adds comment if necessary.   นำส่ง แบบฟอร์ม MBO เพื่อขอการอนุมัติ จากผู้ประเมินคนที่ 2 ซึ่งผลคะแนนจากการประเมินจะถูกนำมาใส่ในช่อง “ผู้ประเมินคนที่ 2” ซึ่งสามารถใส่เพิ่มคำติชมได้ ถ้ามี</t>
  </si>
  <si>
    <t>11.  Appraiser reviews level of achievement and assigns numeric score under "1st Appraiser" column and adds comment if necessary.   ผู้ประเมินทบทวนระดับของความสำเร็จ และใส่เลขคะแนนในช่อง “ผู้ประเมินคนที่ 1” และใส่คำติชม ถ้ามี</t>
  </si>
  <si>
    <t>10.  At then end of appraisal period, apraisee elaborates level of achievement based on each objective, and state numeric score under "Self" column. Calculate total score of each part by applying weighting scale and add up total scores to obtain "grand total score" by applying weighting scale.   เมื่อใกล้ช่วงเวลาการประเมินผล  ผู้ถูกประเมินจะต้องบันทึกระดับของควาสำเร็จของแต่ละเป้าหมายโดยการให้คะแนนในช่อง “Self-ประเมินตนเอง”  หาผลรวมของคะแนนของเป้าหมายแต่ละประเภทตามตัวถ่วงน้ำหนัก  จากนั้นนำเป้าหมายทั้งสองประเภทมาหาผลรวมสุดท้ายตามตัวถ่วงน้ำหนักที่กำหนดไว้</t>
  </si>
  <si>
    <t>- Executes basic assignments with general supervision within the job area
- Checks exiting operation systems or  processes, Solves well-defined operational issues in a assigned area, Explains facts, practices, policies to primary internal partiesGuides job knowledge to lower level
- Has broad theoretical job knowledge within one job area</t>
  </si>
  <si>
    <r>
      <t>1</t>
    </r>
    <r>
      <rPr>
        <vertAlign val="superscript"/>
        <sz val="14"/>
        <rFont val="Calibri"/>
        <family val="2"/>
        <scheme val="minor"/>
      </rPr>
      <t>st</t>
    </r>
    <r>
      <rPr>
        <sz val="14"/>
        <rFont val="Calibri"/>
        <family val="2"/>
        <scheme val="minor"/>
      </rPr>
      <t xml:space="preserve"> Appraiser Signature
ผู้ประเมินคนที่ 1 ลงลายมือชื่อ</t>
    </r>
  </si>
  <si>
    <r>
      <t>2</t>
    </r>
    <r>
      <rPr>
        <vertAlign val="superscript"/>
        <sz val="14"/>
        <rFont val="Calibri"/>
        <family val="2"/>
        <scheme val="minor"/>
      </rPr>
      <t>nd</t>
    </r>
    <r>
      <rPr>
        <sz val="14"/>
        <rFont val="Calibri"/>
        <family val="2"/>
        <scheme val="minor"/>
      </rPr>
      <t xml:space="preserve"> Appraiser Signature
ผู้ประเมินคนที่ 2 ลงลายมือชื่อ</t>
    </r>
  </si>
  <si>
    <r>
      <t>1</t>
    </r>
    <r>
      <rPr>
        <vertAlign val="superscript"/>
        <sz val="14"/>
        <rFont val="Calibri"/>
        <family val="2"/>
        <scheme val="minor"/>
      </rPr>
      <t>st</t>
    </r>
    <r>
      <rPr>
        <sz val="14"/>
        <rFont val="Calibri"/>
        <family val="2"/>
        <scheme val="minor"/>
      </rPr>
      <t>-Half Assessment for Mid-Year Bonus 
(การประเมินผลช่วงครึ่งปีแรก ม.ค. ถึง มิ.ย. เพื่อจ่ายโบนัสกลางปี)</t>
    </r>
  </si>
  <si>
    <r>
      <t>2</t>
    </r>
    <r>
      <rPr>
        <vertAlign val="superscript"/>
        <sz val="14"/>
        <rFont val="Calibri"/>
        <family val="2"/>
        <scheme val="minor"/>
      </rPr>
      <t>nd</t>
    </r>
    <r>
      <rPr>
        <sz val="14"/>
        <rFont val="Calibri"/>
        <family val="2"/>
        <scheme val="minor"/>
      </rPr>
      <t>-Half Assessment for Year-End Bonus 
(การประเมินผลช่วงครึ่งปีหลัง ก.ค. ถึง ธ.ค. เพื่อจ่ายโบนัสปลายปี)</t>
    </r>
  </si>
  <si>
    <t>Level</t>
  </si>
  <si>
    <t>Category</t>
  </si>
  <si>
    <t>Management</t>
  </si>
  <si>
    <t>Sales and Services</t>
  </si>
  <si>
    <t>General</t>
  </si>
  <si>
    <t>Production</t>
  </si>
  <si>
    <t>VP</t>
  </si>
  <si>
    <t>Ex. Director</t>
  </si>
  <si>
    <t>Director</t>
  </si>
  <si>
    <t>Sr. GM</t>
  </si>
  <si>
    <t>Sr. Mgr.</t>
  </si>
  <si>
    <t>Sr. Specialist</t>
  </si>
  <si>
    <t>GM</t>
  </si>
  <si>
    <t>Deputy GM</t>
  </si>
  <si>
    <t>Mgr.</t>
  </si>
  <si>
    <t>Specialist</t>
  </si>
  <si>
    <t>Section Mgr.</t>
  </si>
  <si>
    <t>Non-management</t>
  </si>
  <si>
    <t>Asst. Mgr.</t>
  </si>
  <si>
    <t>Asst. Mgr</t>
  </si>
  <si>
    <t>Asst. Section</t>
  </si>
  <si>
    <t>Supervisor</t>
  </si>
  <si>
    <t>Chief</t>
  </si>
  <si>
    <t>Sr. Officer / Sr. Engineer / Sr. SV</t>
  </si>
  <si>
    <t>B</t>
  </si>
  <si>
    <t>Sr. Engineer</t>
  </si>
  <si>
    <t>Sr. Staff</t>
  </si>
  <si>
    <t>Sr. LD-B</t>
  </si>
  <si>
    <t>A</t>
  </si>
  <si>
    <t>Sr. LD-A</t>
  </si>
  <si>
    <t>Officer / Engineer / SV</t>
  </si>
  <si>
    <t>LD-B</t>
  </si>
  <si>
    <t>Staff / Foreman</t>
  </si>
  <si>
    <t>LD-A</t>
  </si>
  <si>
    <t>Operator4 / Leader 4 / Clerk 4</t>
  </si>
  <si>
    <t>Sr. Clerk</t>
  </si>
  <si>
    <t>Sr. OP-B</t>
  </si>
  <si>
    <t>Operator 3/ Leader 3 / Clerk 3</t>
  </si>
  <si>
    <t>Sr. OP-A</t>
  </si>
  <si>
    <t>Operator 2 / Clerk 2</t>
  </si>
  <si>
    <t>Clerk, Driver</t>
  </si>
  <si>
    <t>OP-B</t>
  </si>
  <si>
    <t>Operator 1/Clerk1 / Driver</t>
  </si>
  <si>
    <t>OP-A</t>
  </si>
  <si>
    <t>Daily Operator, Retired Emp.</t>
  </si>
  <si>
    <t>Retired Emp.</t>
  </si>
  <si>
    <t>Daily OP</t>
  </si>
  <si>
    <t>New Grade</t>
  </si>
  <si>
    <t xml:space="preserve">ร่วมกำหนดแผนกลยุทธ์ระยะกลางถึงระยะยาว (3-5 ปี) และบริหารจัดการความสำเร็จของทุกๆ ฝ่ายงาน เพื่อให้บรรลุเป้าหมายของบริษัทฯ ; ดำเนินการปรับปรุง หรือ เปลี่ยนแปลงอย่างมีนัยสำคัญใน กระบวนการ / ระบบ / ผลิตภัณฑ์ ณ ปัจจุบัน ที่จะส่งผลกระทบต่อฝ่ายงานต่างๆ ; จัดการปัญหาในหลายมิติด้วยอำนาจตามบทบาทและหน้าที่ เพื่อบริหารจัดการทรัพยากรในการดำเนินงาน ทรัพยากรบุคคล และการเงินของทุกฝ่ายงาน ; โน้มน้าวบุคคลทั้งภายในและภายนอกที่เห็นต่างให้เต็มใจยอมรับนโยบายของบริษัทฯ ; พัฒนา M2 (Division Managers) ให้สามารถคิด และลงมือทำได้ด้วยตนเอง พร้อมกับสร้างผู้สืบทอดตำแหน่งไปพร้อมๆ กัน ; มีความรู้ด้านการบริหารจัดการในเชิงกว้างและมากพอ  ครอบคลุมทุกฝ่ายงาน และมีทักษะในการกำกับดูแลกลุ่มผู้จัดการทั้งหมด </t>
  </si>
  <si>
    <t>เหมือน E2</t>
  </si>
  <si>
    <t>เหมือน E3</t>
  </si>
  <si>
    <t>เหมือน E4</t>
  </si>
  <si>
    <t>เหมือน E5</t>
  </si>
  <si>
    <t>เหมือน E6</t>
  </si>
  <si>
    <t>เหมือน E7</t>
  </si>
  <si>
    <t>เหมือน E8</t>
  </si>
  <si>
    <t>เหมือน G9</t>
  </si>
  <si>
    <t>เหมือน G10</t>
  </si>
  <si>
    <t>เหมือน G11</t>
  </si>
  <si>
    <t>Current
C-Level</t>
  </si>
  <si>
    <t>Current 
Position Title</t>
  </si>
  <si>
    <t>Div. 
Mgr.</t>
  </si>
  <si>
    <t>Sr. 
Mgr.</t>
  </si>
  <si>
    <t>Jul - Dec 2021</t>
  </si>
  <si>
    <t>Ms.Kasera Sakunwong</t>
  </si>
  <si>
    <t>Senior Manager</t>
  </si>
  <si>
    <t>Bangpoo</t>
  </si>
  <si>
    <t>Administration / HR &amp; GA</t>
  </si>
  <si>
    <t>Mr.Jakpet Paranajinda / Division Manager</t>
  </si>
  <si>
    <t>Mr.Yuichi Nonaka / Division Manager</t>
  </si>
  <si>
    <t>July - December 2021</t>
  </si>
  <si>
    <t>Action Plan : แผนปฏิบัติงาน
(required process, schedule for goal realization 
กระบวนการที่จำเป็น, กำหนดการเพื่อให้เป้าหมายประสบผลสำเร็จ)</t>
  </si>
  <si>
    <t>Start-End
วันที่เริ่มต้นและสิ้นสุด</t>
  </si>
  <si>
    <t>Achievement measuing criteria (i.e. what and how for each rating) 
ตัวชี้วัดความสำเร็จ
(คือ วัดด้วยสิ่งใด และจะวัดอย่างไร)</t>
  </si>
  <si>
    <t>Status review of each objective at mid-term (Appraiser &amp; Appraisee discuss results)
ทบทวนความสำเร็จของแต่ละเป้าหมาย ในช่วงกลางปี (ผู้ประเมินและผู้ถูกประเมินพูดคุยกันเกี่ยวกับผลลัพธ์ที่เกิดขึ้น)</t>
  </si>
  <si>
    <t>2nd-Half Assessment for Year-End Bonus 
(การประเมินผลช่วงครึ่งปีหลัง ก.ค. ถึง ธ.ค. เพื่อจ่ายโบนัสปลายปี)</t>
  </si>
  <si>
    <t>1st-Half Assessment for Mid-Year Bonus</t>
  </si>
  <si>
    <t>2nd-Half Assessment for Year-End Bonus</t>
  </si>
  <si>
    <r>
      <rPr>
        <sz val="16"/>
        <color theme="1"/>
        <rFont val="Calibri"/>
        <family val="2"/>
        <scheme val="minor"/>
      </rPr>
      <t>Our signatures indicates mutual agreement on the below professOur signatures indicates mutual agreement on the below professionality assessment, comments, and training &amp; development planionality assessment, comments, and training &amp; development plan</t>
    </r>
    <r>
      <rPr>
        <sz val="18"/>
        <color theme="1"/>
        <rFont val="Calibri"/>
        <family val="2"/>
        <scheme val="minor"/>
      </rPr>
      <t xml:space="preserve">
การลงลายมือชื่อของเรา แสดงถึง ความเข้าใจและเห็นพ้องต้องกันในผลการประเมิน การให้คำติชม รวมถึงการดำเนินการเรื่องแผนการพัฒนาและการฝึกอบรมที่อยู่ด้านล่างนี้</t>
    </r>
  </si>
  <si>
    <t>10 years 10 months</t>
  </si>
  <si>
    <t>5:
4:
3: increase 12% within 6 months
2:
1:</t>
  </si>
  <si>
    <t>Year 2019</t>
  </si>
  <si>
    <t>1 January 2008</t>
  </si>
  <si>
    <r>
      <t>Improve customer satisfaction score</t>
    </r>
    <r>
      <rPr>
        <sz val="16"/>
        <color rgb="FFFF0000"/>
        <rFont val="Calibri"/>
        <family val="2"/>
        <scheme val="minor"/>
      </rPr>
      <t xml:space="preserve"> by 12 percent within 6 months</t>
    </r>
  </si>
  <si>
    <t>ความปลอดภัย คือ พื้นฐานของทุกสิ่ง, ปฏิบัติตามกฎหมาย และรักษา Compliance อย่างเคร่งครัด สร้างองค์กรที่  Clean, สิ่งเดียวที่จะสร้างความไว้วางใจจากลูกค้า คือ คุณภาพ, ดำเนินการแบบเชิงรุก เพื่อยกระดับประสิทธิภาพการผลิต และสร้างบริษัทที่เติบโตอย่างยั่งยืน</t>
  </si>
  <si>
    <t>Company's Slogan 2024
คำขวัญบริษัท 2567</t>
  </si>
  <si>
    <t>Company's Policy 2024
นโยบายบริษัท 2567</t>
  </si>
  <si>
    <t>Let's strengthen our commitment toward sustainable growth!</t>
  </si>
  <si>
    <t>MBO (Goal) : 6</t>
  </si>
  <si>
    <t>MBO (Goal) : 7</t>
  </si>
  <si>
    <t>Self-Assessment
()</t>
  </si>
  <si>
    <r>
      <t>1</t>
    </r>
    <r>
      <rPr>
        <vertAlign val="superscript"/>
        <sz val="22"/>
        <rFont val="Calibri"/>
        <family val="2"/>
        <scheme val="minor"/>
      </rPr>
      <t>st</t>
    </r>
    <r>
      <rPr>
        <sz val="22"/>
        <rFont val="Calibri"/>
        <family val="2"/>
        <scheme val="minor"/>
      </rPr>
      <t xml:space="preserve"> Appraisal Assessment
()</t>
    </r>
  </si>
  <si>
    <r>
      <t>2</t>
    </r>
    <r>
      <rPr>
        <vertAlign val="superscript"/>
        <sz val="22"/>
        <rFont val="Calibri"/>
        <family val="2"/>
        <scheme val="minor"/>
      </rPr>
      <t>nd</t>
    </r>
    <r>
      <rPr>
        <sz val="22"/>
        <rFont val="Calibri"/>
        <family val="2"/>
        <scheme val="minor"/>
      </rPr>
      <t xml:space="preserve"> Appraisal Assessment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</si>
</sst>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0">
    <font>
      <sz val="12"/>
      <name val="Helv"/>
      <family val="2"/>
    </font>
    <font>
      <sz val="9"/>
      <name val="ＭＳ Ｐゴシック"/>
      <family val="3"/>
      <charset val="128"/>
    </font>
    <font>
      <sz val="12"/>
      <name val="Helv"/>
      <family val="2"/>
    </font>
    <font>
      <sz val="11"/>
      <name val="ＭＳ Ｐゴシック"/>
      <family val="2"/>
      <charset val="128"/>
    </font>
    <font>
      <sz val="12"/>
      <name val="Arial"/>
      <family val="2"/>
    </font>
    <font>
      <sz val="18"/>
      <name val="Arial"/>
      <family val="2"/>
    </font>
    <font>
      <sz val="12"/>
      <color theme="0"/>
      <name val="Arial"/>
      <family val="2"/>
    </font>
    <font>
      <sz val="14"/>
      <name val="Arial"/>
      <family val="2"/>
    </font>
    <font>
      <b/>
      <sz val="20"/>
      <name val="Calibri"/>
      <family val="2"/>
      <scheme val="minor"/>
    </font>
    <font>
      <sz val="20"/>
      <name val="Calibri"/>
      <family val="2"/>
      <scheme val="minor"/>
    </font>
    <font>
      <sz val="8"/>
      <name val="Helv"/>
      <family val="2"/>
    </font>
    <font>
      <b/>
      <sz val="22"/>
      <name val="Calibri"/>
      <family val="2"/>
      <scheme val="minor"/>
    </font>
    <font>
      <sz val="22"/>
      <name val="Calibri"/>
      <family val="2"/>
      <scheme val="minor"/>
    </font>
    <font>
      <b/>
      <sz val="22"/>
      <color theme="0"/>
      <name val="Calibri"/>
      <family val="2"/>
      <scheme val="minor"/>
    </font>
    <font>
      <i/>
      <sz val="22"/>
      <name val="Calibri"/>
      <family val="2"/>
      <scheme val="minor"/>
    </font>
    <font>
      <b/>
      <sz val="22"/>
      <name val="Arial"/>
      <family val="2"/>
    </font>
    <font>
      <sz val="22"/>
      <color indexed="63"/>
      <name val="Arial"/>
      <family val="2"/>
    </font>
    <font>
      <sz val="22"/>
      <color theme="0"/>
      <name val="Calibri"/>
      <family val="2"/>
      <scheme val="minor"/>
    </font>
    <font>
      <i/>
      <sz val="22"/>
      <color indexed="63"/>
      <name val="Arial"/>
      <family val="2"/>
    </font>
    <font>
      <b/>
      <sz val="28"/>
      <name val="Calibri"/>
      <family val="2"/>
      <scheme val="minor"/>
    </font>
    <font>
      <b/>
      <sz val="28"/>
      <color theme="0"/>
      <name val="Calibri"/>
      <family val="2"/>
      <scheme val="minor"/>
    </font>
    <font>
      <sz val="18"/>
      <name val="Calibri"/>
      <family val="2"/>
      <scheme val="minor"/>
    </font>
    <font>
      <sz val="16"/>
      <name val="Calibri"/>
      <family val="2"/>
      <scheme val="minor"/>
    </font>
    <font>
      <sz val="20"/>
      <name val="Arial"/>
      <family val="2"/>
    </font>
    <font>
      <sz val="24"/>
      <name val="Calibri"/>
      <family val="2"/>
      <scheme val="minor"/>
    </font>
    <font>
      <sz val="26"/>
      <name val="Calibri"/>
      <family val="2"/>
      <scheme val="minor"/>
    </font>
    <font>
      <sz val="12"/>
      <name val="Calibri"/>
      <family val="2"/>
      <scheme val="minor"/>
    </font>
    <font>
      <b/>
      <sz val="16"/>
      <name val="Calibri"/>
      <family val="2"/>
      <scheme val="minor"/>
    </font>
    <font>
      <b/>
      <sz val="12"/>
      <name val="Calibri"/>
      <family val="2"/>
      <scheme val="minor"/>
    </font>
    <font>
      <sz val="20"/>
      <color theme="0"/>
      <name val="Calibri"/>
      <family val="2"/>
      <scheme val="minor"/>
    </font>
    <font>
      <sz val="12"/>
      <color rgb="FFFF0000"/>
      <name val="Calibri"/>
      <family val="2"/>
      <scheme val="minor"/>
    </font>
    <font>
      <sz val="20"/>
      <color rgb="FFFF0000"/>
      <name val="Calibri"/>
      <family val="2"/>
      <scheme val="minor"/>
    </font>
    <font>
      <sz val="12"/>
      <color theme="1"/>
      <name val="Calibri"/>
      <family val="2"/>
      <scheme val="minor"/>
    </font>
    <font>
      <b/>
      <sz val="36"/>
      <color theme="1"/>
      <name val="Arial"/>
      <family val="2"/>
    </font>
    <font>
      <b/>
      <sz val="22"/>
      <color rgb="FFC00000"/>
      <name val="Calibri"/>
      <family val="2"/>
      <scheme val="minor"/>
    </font>
    <font>
      <b/>
      <sz val="22"/>
      <color rgb="FF7030A0"/>
      <name val="Calibri"/>
      <family val="2"/>
      <scheme val="minor"/>
    </font>
    <font>
      <b/>
      <sz val="26"/>
      <name val="Calibri"/>
      <family val="2"/>
      <scheme val="minor"/>
    </font>
    <font>
      <vertAlign val="superscript"/>
      <sz val="22"/>
      <name val="Calibri"/>
      <family val="2"/>
      <scheme val="minor"/>
    </font>
    <font>
      <vertAlign val="superscript"/>
      <sz val="20"/>
      <name val="Calibri"/>
      <family val="2"/>
      <scheme val="minor"/>
    </font>
    <font>
      <b/>
      <vertAlign val="superscript"/>
      <sz val="22"/>
      <name val="Calibri"/>
      <family val="2"/>
      <scheme val="minor"/>
    </font>
    <font>
      <b/>
      <vertAlign val="superscript"/>
      <sz val="20"/>
      <name val="Calibri"/>
      <family val="2"/>
      <scheme val="minor"/>
    </font>
    <font>
      <vertAlign val="superscript"/>
      <sz val="22"/>
      <color theme="0"/>
      <name val="Calibri"/>
      <family val="2"/>
      <scheme val="minor"/>
    </font>
    <font>
      <b/>
      <sz val="24"/>
      <name val="Calibri"/>
      <family val="2"/>
      <scheme val="minor"/>
    </font>
    <font>
      <b/>
      <sz val="36"/>
      <name val="Calibri"/>
      <family val="2"/>
      <scheme val="minor"/>
    </font>
    <font>
      <sz val="36"/>
      <name val="Calibri"/>
      <family val="2"/>
      <scheme val="minor"/>
    </font>
    <font>
      <b/>
      <sz val="36"/>
      <color theme="0"/>
      <name val="Calibri"/>
      <family val="2"/>
      <scheme val="minor"/>
    </font>
    <font>
      <sz val="28"/>
      <name val="Calibri"/>
      <family val="2"/>
      <scheme val="minor"/>
    </font>
    <font>
      <sz val="14"/>
      <name val="Calibri"/>
      <family val="2"/>
      <scheme val="minor"/>
    </font>
    <font>
      <sz val="10"/>
      <name val="Calibri"/>
      <family val="2"/>
      <scheme val="minor"/>
    </font>
    <font>
      <sz val="8"/>
      <name val="Calibri"/>
      <family val="2"/>
      <scheme val="minor"/>
    </font>
    <font>
      <b/>
      <sz val="18"/>
      <name val="Calibri"/>
      <family val="2"/>
      <scheme val="minor"/>
    </font>
    <font>
      <sz val="14"/>
      <color rgb="FFFFFFFF"/>
      <name val="Arial"/>
      <family val="2"/>
    </font>
    <font>
      <sz val="14"/>
      <color rgb="FF003865"/>
      <name val="Arial"/>
      <family val="2"/>
    </font>
    <font>
      <vertAlign val="superscript"/>
      <sz val="14"/>
      <name val="Calibri"/>
      <family val="2"/>
      <scheme val="minor"/>
    </font>
    <font>
      <b/>
      <sz val="20"/>
      <color rgb="FF000000"/>
      <name val="Calibri"/>
      <family val="2"/>
    </font>
    <font>
      <b/>
      <sz val="36"/>
      <color rgb="FF000000"/>
      <name val="Calibri"/>
      <family val="2"/>
    </font>
    <font>
      <b/>
      <sz val="36"/>
      <color rgb="FFFFFFFF"/>
      <name val="Calibri"/>
      <family val="2"/>
    </font>
    <font>
      <b/>
      <sz val="48"/>
      <color rgb="FFFFFFFF"/>
      <name val="Calibri"/>
      <family val="2"/>
    </font>
    <font>
      <sz val="36"/>
      <name val="Arial"/>
      <family val="2"/>
    </font>
    <font>
      <b/>
      <sz val="26"/>
      <color rgb="FF000000"/>
      <name val="Calibri"/>
      <family val="2"/>
    </font>
    <font>
      <b/>
      <sz val="72"/>
      <color rgb="FFFFFFFF"/>
      <name val="Calibri"/>
      <family val="2"/>
    </font>
    <font>
      <b/>
      <sz val="72"/>
      <name val="Arial"/>
      <family val="2"/>
    </font>
    <font>
      <b/>
      <sz val="48"/>
      <color rgb="FF000000"/>
      <name val="Calibri"/>
      <family val="2"/>
    </font>
    <font>
      <b/>
      <sz val="60"/>
      <color rgb="FFFFFFFF"/>
      <name val="Calibri"/>
      <family val="2"/>
    </font>
    <font>
      <b/>
      <sz val="60"/>
      <color rgb="FF000000"/>
      <name val="Calibri"/>
      <family val="2"/>
    </font>
    <font>
      <b/>
      <sz val="48"/>
      <name val="Calibri"/>
      <family val="2"/>
      <scheme val="minor"/>
    </font>
    <font>
      <b/>
      <sz val="26"/>
      <color theme="0"/>
      <name val="Calibri"/>
      <family val="2"/>
      <scheme val="minor"/>
    </font>
    <font>
      <sz val="22"/>
      <color theme="1"/>
      <name val="Calibri"/>
      <family val="2"/>
      <scheme val="minor"/>
    </font>
    <font>
      <sz val="16"/>
      <color theme="1"/>
      <name val="Calibri"/>
      <family val="2"/>
      <scheme val="minor"/>
    </font>
    <font>
      <sz val="18"/>
      <color theme="1"/>
      <name val="Calibri"/>
      <family val="2"/>
      <scheme val="minor"/>
    </font>
    <font>
      <b/>
      <sz val="24"/>
      <color theme="0"/>
      <name val="Calibri"/>
      <family val="2"/>
      <scheme val="minor"/>
    </font>
    <font>
      <sz val="16"/>
      <color rgb="FFFF0000"/>
      <name val="Calibri"/>
      <family val="2"/>
      <scheme val="minor"/>
    </font>
    <font>
      <sz val="48"/>
      <color rgb="FF0070C0"/>
      <name val="Calibri"/>
      <family val="2"/>
      <scheme val="minor"/>
    </font>
    <font>
      <b/>
      <sz val="72"/>
      <color rgb="FF0070C0"/>
      <name val="Calibri"/>
      <family val="2"/>
      <scheme val="minor"/>
    </font>
    <font>
      <b/>
      <sz val="28"/>
      <color rgb="FF0070C0"/>
      <name val="Calibri"/>
      <family val="2"/>
      <scheme val="minor"/>
    </font>
    <font>
      <sz val="28"/>
      <color rgb="FF0070C0"/>
      <name val="Calibri"/>
      <family val="2"/>
      <scheme val="minor"/>
    </font>
    <font>
      <sz val="18"/>
      <color theme="2" tint="-0.89999084444715716"/>
      <name val="Calibri"/>
      <family val="2"/>
      <scheme val="minor"/>
    </font>
    <font>
      <b/>
      <sz val="18"/>
      <color theme="1"/>
      <name val="Calibri"/>
      <family val="2"/>
      <scheme val="minor"/>
    </font>
    <font>
      <u/>
      <sz val="12"/>
      <color theme="10"/>
      <name val="Helv"/>
      <family val="2"/>
    </font>
    <font>
      <u/>
      <sz val="12"/>
      <color theme="10"/>
      <name val="Helv"/>
    </font>
  </fonts>
  <fills count="36">
    <fill>
      <patternFill patternType="none"/>
    </fill>
    <fill>
      <patternFill patternType="gray125"/>
    </fill>
    <fill>
      <patternFill patternType="solid">
        <fgColor theme="6"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rgb="FF00A8C8"/>
        <bgColor indexed="64"/>
      </patternFill>
    </fill>
    <fill>
      <patternFill patternType="solid">
        <fgColor rgb="FFFFFF00"/>
        <bgColor indexed="64"/>
      </patternFill>
    </fill>
    <fill>
      <patternFill patternType="solid">
        <fgColor theme="0" tint="-0.499984740745262"/>
        <bgColor indexed="64"/>
      </patternFill>
    </fill>
    <fill>
      <patternFill patternType="solid">
        <fgColor rgb="FFCAEEF5"/>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FF0000"/>
        <bgColor indexed="64"/>
      </patternFill>
    </fill>
    <fill>
      <patternFill patternType="solid">
        <fgColor theme="0" tint="-0.249977111117893"/>
        <bgColor indexed="64"/>
      </patternFill>
    </fill>
    <fill>
      <patternFill patternType="solid">
        <fgColor rgb="FF0070C0"/>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FF99"/>
        <bgColor indexed="64"/>
      </patternFill>
    </fill>
    <fill>
      <patternFill patternType="solid">
        <fgColor theme="5" tint="0.79998168889431442"/>
        <bgColor indexed="64"/>
      </patternFill>
    </fill>
    <fill>
      <patternFill patternType="solid">
        <fgColor rgb="FFFFC000"/>
        <bgColor indexed="64"/>
      </patternFill>
    </fill>
    <fill>
      <patternFill patternType="solid">
        <fgColor rgb="FF4472C4"/>
        <bgColor indexed="64"/>
      </patternFill>
    </fill>
    <fill>
      <patternFill patternType="solid">
        <fgColor rgb="FF002060"/>
        <bgColor indexed="64"/>
      </patternFill>
    </fill>
    <fill>
      <patternFill patternType="solid">
        <fgColor rgb="FF7030A0"/>
        <bgColor indexed="64"/>
      </patternFill>
    </fill>
    <fill>
      <patternFill patternType="solid">
        <fgColor rgb="FF00CC99"/>
        <bgColor indexed="64"/>
      </patternFill>
    </fill>
    <fill>
      <patternFill patternType="solid">
        <fgColor rgb="FF2E75B6"/>
        <bgColor indexed="64"/>
      </patternFill>
    </fill>
    <fill>
      <patternFill patternType="solid">
        <fgColor rgb="FFDEEBF7"/>
        <bgColor indexed="64"/>
      </patternFill>
    </fill>
    <fill>
      <patternFill patternType="solid">
        <fgColor rgb="FFFFF2CC"/>
        <bgColor indexed="64"/>
      </patternFill>
    </fill>
    <fill>
      <patternFill patternType="solid">
        <fgColor rgb="FF7F7F7F"/>
        <bgColor indexed="64"/>
      </patternFill>
    </fill>
    <fill>
      <patternFill patternType="solid">
        <fgColor rgb="FF9DC3E6"/>
        <bgColor indexed="64"/>
      </patternFill>
    </fill>
    <fill>
      <patternFill patternType="solid">
        <fgColor rgb="FF00B0F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4" tint="0.79998168889431442"/>
        <bgColor indexed="64"/>
      </patternFill>
    </fill>
  </fills>
  <borders count="69">
    <border>
      <left/>
      <right/>
      <top/>
      <bottom/>
      <diagonal/>
    </border>
    <border>
      <left/>
      <right/>
      <top/>
      <bottom style="medium">
        <color indexed="64"/>
      </bottom>
      <diagonal/>
    </border>
    <border>
      <left style="thin">
        <color indexed="64"/>
      </left>
      <right/>
      <top/>
      <bottom/>
      <diagonal/>
    </border>
    <border>
      <left/>
      <right style="thin">
        <color indexed="64"/>
      </right>
      <top/>
      <bottom/>
      <diagonal/>
    </border>
    <border>
      <left/>
      <right/>
      <top style="medium">
        <color indexed="64"/>
      </top>
      <bottom style="medium">
        <color indexed="64"/>
      </bottom>
      <diagonal/>
    </border>
    <border>
      <left/>
      <right/>
      <top style="medium">
        <color indexed="64"/>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mediumDashed">
        <color indexed="64"/>
      </right>
      <top style="thin">
        <color indexed="64"/>
      </top>
      <bottom style="thin">
        <color indexed="64"/>
      </bottom>
      <diagonal/>
    </border>
    <border>
      <left/>
      <right style="mediumDashed">
        <color indexed="64"/>
      </right>
      <top style="thin">
        <color indexed="64"/>
      </top>
      <bottom/>
      <diagonal/>
    </border>
    <border>
      <left/>
      <right style="mediumDashed">
        <color indexed="64"/>
      </right>
      <top/>
      <bottom style="thin">
        <color indexed="64"/>
      </bottom>
      <diagonal/>
    </border>
    <border>
      <left/>
      <right style="mediumDashed">
        <color indexed="64"/>
      </right>
      <top/>
      <bottom/>
      <diagonal/>
    </border>
    <border>
      <left style="medium">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medium">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medium">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
        <color indexed="64"/>
      </right>
      <top style="mediumDashed">
        <color indexed="64"/>
      </top>
      <bottom style="mediumDashed">
        <color indexed="64"/>
      </bottom>
      <diagonal/>
    </border>
    <border>
      <left style="mediumDashed">
        <color indexed="64"/>
      </left>
      <right/>
      <top style="thin">
        <color indexed="64"/>
      </top>
      <bottom style="thin">
        <color indexed="64"/>
      </bottom>
      <diagonal/>
    </border>
    <border>
      <left style="mediumDashed">
        <color indexed="64"/>
      </left>
      <right style="thin">
        <color indexed="64"/>
      </right>
      <top style="thin">
        <color indexed="64"/>
      </top>
      <bottom/>
      <diagonal/>
    </border>
    <border>
      <left style="mediumDashed">
        <color indexed="64"/>
      </left>
      <right style="thin">
        <color indexed="64"/>
      </right>
      <top/>
      <bottom style="thin">
        <color indexed="64"/>
      </bottom>
      <diagonal/>
    </border>
    <border>
      <left style="mediumDashed">
        <color indexed="64"/>
      </left>
      <right style="thin">
        <color indexed="64"/>
      </right>
      <top/>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style="medium">
        <color indexed="64"/>
      </left>
      <right/>
      <top style="dashed">
        <color indexed="64"/>
      </top>
      <bottom/>
      <diagonal/>
    </border>
    <border>
      <left/>
      <right/>
      <top style="dashed">
        <color indexed="64"/>
      </top>
      <bottom/>
      <diagonal/>
    </border>
    <border>
      <left/>
      <right style="medium">
        <color indexed="64"/>
      </right>
      <top style="dashed">
        <color indexed="64"/>
      </top>
      <bottom/>
      <diagonal/>
    </border>
    <border>
      <left style="thin">
        <color indexed="64"/>
      </left>
      <right style="thin">
        <color indexed="64"/>
      </right>
      <top style="thin">
        <color indexed="64"/>
      </top>
      <bottom style="mediumDashed">
        <color indexed="64"/>
      </bottom>
      <diagonal/>
    </border>
    <border>
      <left style="thin">
        <color indexed="64"/>
      </left>
      <right style="thin">
        <color indexed="64"/>
      </right>
      <top style="mediumDashed">
        <color indexed="64"/>
      </top>
      <bottom style="mediumDashed">
        <color indexed="64"/>
      </bottom>
      <diagonal/>
    </border>
    <border>
      <left style="thin">
        <color indexed="64"/>
      </left>
      <right style="thin">
        <color indexed="64"/>
      </right>
      <top style="mediumDashed">
        <color indexed="64"/>
      </top>
      <bottom style="thin">
        <color indexed="64"/>
      </bottom>
      <diagonal/>
    </border>
    <border>
      <left style="thin">
        <color indexed="64"/>
      </left>
      <right style="thin">
        <color indexed="64"/>
      </right>
      <top style="mediumDashed">
        <color indexed="64"/>
      </top>
      <bottom/>
      <diagonal/>
    </border>
    <border>
      <left style="thin">
        <color indexed="64"/>
      </left>
      <right style="thin">
        <color indexed="64"/>
      </right>
      <top/>
      <bottom style="mediumDashed">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bottom/>
      <diagonal/>
    </border>
  </borders>
  <cellStyleXfs count="6">
    <xf numFmtId="0" fontId="0" fillId="0" borderId="0"/>
    <xf numFmtId="0" fontId="1" fillId="0" borderId="0">
      <alignment vertical="center"/>
    </xf>
    <xf numFmtId="0" fontId="2" fillId="0" borderId="0"/>
    <xf numFmtId="0" fontId="3" fillId="0" borderId="0"/>
    <xf numFmtId="9" fontId="2" fillId="0" borderId="0" applyFont="0" applyFill="0" applyBorder="0" applyAlignment="0" applyProtection="0"/>
    <xf numFmtId="0" fontId="78" fillId="0" borderId="0" applyNumberFormat="0" applyFill="0" applyBorder="0" applyAlignment="0" applyProtection="0"/>
  </cellStyleXfs>
  <cellXfs count="935">
    <xf numFmtId="0" fontId="0" fillId="0" borderId="0" xfId="0"/>
    <xf numFmtId="0" fontId="4" fillId="0" borderId="27" xfId="0" applyFont="1" applyBorder="1" applyAlignment="1">
      <alignment horizontal="left" vertical="top" wrapText="1" readingOrder="1"/>
    </xf>
    <xf numFmtId="0" fontId="4" fillId="3" borderId="12" xfId="0" quotePrefix="1" applyFont="1" applyFill="1" applyBorder="1" applyAlignment="1">
      <alignment horizontal="left" vertical="top" wrapText="1" readingOrder="1"/>
    </xf>
    <xf numFmtId="0" fontId="12" fillId="0" borderId="0" xfId="0" applyFont="1" applyAlignment="1">
      <alignment vertical="center"/>
    </xf>
    <xf numFmtId="0" fontId="12" fillId="0" borderId="0" xfId="0" applyFont="1"/>
    <xf numFmtId="0" fontId="14" fillId="0" borderId="0" xfId="0" applyFont="1"/>
    <xf numFmtId="0" fontId="12" fillId="0" borderId="0" xfId="0" applyFont="1" applyAlignment="1">
      <alignment horizontal="left"/>
    </xf>
    <xf numFmtId="20" fontId="15" fillId="0" borderId="8" xfId="1" quotePrefix="1" applyNumberFormat="1" applyFont="1" applyBorder="1" applyAlignment="1">
      <alignment horizontal="center" vertical="center" wrapText="1"/>
    </xf>
    <xf numFmtId="0" fontId="15" fillId="0" borderId="34" xfId="1" quotePrefix="1" applyFont="1" applyBorder="1" applyAlignment="1">
      <alignment horizontal="center" vertical="center" wrapText="1"/>
    </xf>
    <xf numFmtId="0" fontId="15" fillId="0" borderId="37" xfId="1" quotePrefix="1" applyFont="1" applyBorder="1" applyAlignment="1">
      <alignment horizontal="center" vertical="center" wrapText="1"/>
    </xf>
    <xf numFmtId="0" fontId="15" fillId="0" borderId="10" xfId="1" quotePrefix="1" applyFont="1" applyBorder="1" applyAlignment="1">
      <alignment horizontal="center" vertical="center" wrapText="1"/>
    </xf>
    <xf numFmtId="0" fontId="11" fillId="13" borderId="15" xfId="0" applyFont="1" applyFill="1" applyBorder="1"/>
    <xf numFmtId="0" fontId="11" fillId="13" borderId="4" xfId="0" applyFont="1" applyFill="1" applyBorder="1"/>
    <xf numFmtId="0" fontId="11" fillId="13" borderId="16" xfId="0" applyFont="1" applyFill="1" applyBorder="1"/>
    <xf numFmtId="0" fontId="12" fillId="0" borderId="0" xfId="0" applyFont="1" applyAlignment="1">
      <alignment horizontal="center"/>
    </xf>
    <xf numFmtId="0" fontId="12" fillId="3" borderId="20" xfId="0" applyFont="1" applyFill="1" applyBorder="1" applyAlignment="1">
      <alignment horizontal="center" vertical="center"/>
    </xf>
    <xf numFmtId="0" fontId="11" fillId="0" borderId="0" xfId="0" applyFont="1" applyAlignment="1">
      <alignment vertical="center"/>
    </xf>
    <xf numFmtId="0" fontId="11" fillId="0" borderId="12" xfId="0" applyFont="1" applyBorder="1" applyAlignment="1">
      <alignment vertical="center"/>
    </xf>
    <xf numFmtId="0" fontId="11" fillId="0" borderId="0" xfId="0" applyFont="1" applyAlignment="1">
      <alignment horizontal="center" vertical="center"/>
    </xf>
    <xf numFmtId="0" fontId="11" fillId="11" borderId="12" xfId="0" applyFont="1" applyFill="1" applyBorder="1" applyAlignment="1">
      <alignment horizontal="center" vertical="center"/>
    </xf>
    <xf numFmtId="0" fontId="11" fillId="0" borderId="21" xfId="0" applyFont="1" applyBorder="1" applyAlignment="1">
      <alignment vertical="center"/>
    </xf>
    <xf numFmtId="0" fontId="11" fillId="0" borderId="22" xfId="0" applyFont="1" applyBorder="1" applyAlignment="1">
      <alignment vertical="center"/>
    </xf>
    <xf numFmtId="0" fontId="11" fillId="0" borderId="23" xfId="0" applyFont="1" applyBorder="1" applyAlignment="1">
      <alignment vertical="center"/>
    </xf>
    <xf numFmtId="0" fontId="12" fillId="0" borderId="24" xfId="0" applyFont="1" applyBorder="1" applyAlignment="1">
      <alignment vertical="center"/>
    </xf>
    <xf numFmtId="0" fontId="12" fillId="0" borderId="25" xfId="0" applyFont="1" applyBorder="1" applyAlignment="1">
      <alignment vertical="center"/>
    </xf>
    <xf numFmtId="0" fontId="12" fillId="0" borderId="26" xfId="0" applyFont="1" applyBorder="1" applyAlignment="1">
      <alignment vertical="center"/>
    </xf>
    <xf numFmtId="0" fontId="11" fillId="0" borderId="25" xfId="0" applyFont="1" applyBorder="1" applyAlignment="1">
      <alignment vertical="center"/>
    </xf>
    <xf numFmtId="0" fontId="11" fillId="0" borderId="26" xfId="0" applyFont="1" applyBorder="1" applyAlignment="1">
      <alignment vertical="center"/>
    </xf>
    <xf numFmtId="0" fontId="12" fillId="0" borderId="20" xfId="0" applyFont="1" applyBorder="1" applyAlignment="1">
      <alignment horizontal="center" vertical="center"/>
    </xf>
    <xf numFmtId="0" fontId="12" fillId="0" borderId="12" xfId="0" applyFont="1" applyBorder="1" applyAlignment="1">
      <alignment horizontal="center" vertical="center"/>
    </xf>
    <xf numFmtId="0" fontId="12" fillId="0" borderId="12" xfId="0" applyFont="1" applyBorder="1" applyAlignment="1">
      <alignment horizontal="center" vertical="center" wrapText="1"/>
    </xf>
    <xf numFmtId="0" fontId="18" fillId="0" borderId="0" xfId="1" applyFont="1" applyProtection="1">
      <alignment vertical="center"/>
      <protection locked="0"/>
    </xf>
    <xf numFmtId="0" fontId="16" fillId="0" borderId="0" xfId="1" applyFont="1" applyProtection="1">
      <alignment vertical="center"/>
      <protection locked="0"/>
    </xf>
    <xf numFmtId="0" fontId="16" fillId="0" borderId="0" xfId="1" applyFont="1" applyAlignment="1" applyProtection="1">
      <alignment horizontal="center" vertical="center"/>
      <protection locked="0"/>
    </xf>
    <xf numFmtId="0" fontId="22" fillId="0" borderId="29" xfId="0" applyFont="1" applyBorder="1" applyAlignment="1">
      <alignment horizontal="center" vertical="center"/>
    </xf>
    <xf numFmtId="0" fontId="22" fillId="0" borderId="0" xfId="0" applyFont="1" applyAlignment="1">
      <alignment vertical="center"/>
    </xf>
    <xf numFmtId="0" fontId="22" fillId="0" borderId="28" xfId="0" applyFont="1" applyBorder="1" applyAlignment="1">
      <alignment horizontal="center" vertical="center" wrapText="1"/>
    </xf>
    <xf numFmtId="0" fontId="9" fillId="3" borderId="28" xfId="0" applyFont="1" applyFill="1" applyBorder="1" applyAlignment="1">
      <alignment horizontal="center" vertical="center"/>
    </xf>
    <xf numFmtId="0" fontId="9" fillId="11" borderId="28" xfId="0" applyFont="1" applyFill="1" applyBorder="1" applyAlignment="1">
      <alignment horizontal="center" vertical="center"/>
    </xf>
    <xf numFmtId="0" fontId="9" fillId="3" borderId="29" xfId="0" applyFont="1" applyFill="1" applyBorder="1" applyAlignment="1">
      <alignment horizontal="center" vertical="center"/>
    </xf>
    <xf numFmtId="0" fontId="8" fillId="0" borderId="0" xfId="0" applyFont="1" applyAlignment="1">
      <alignment vertical="center"/>
    </xf>
    <xf numFmtId="0" fontId="8" fillId="0" borderId="27" xfId="0" applyFont="1" applyBorder="1" applyAlignment="1">
      <alignment horizontal="center" vertical="center"/>
    </xf>
    <xf numFmtId="0" fontId="26" fillId="0" borderId="0" xfId="0" applyFont="1"/>
    <xf numFmtId="0" fontId="26" fillId="0" borderId="12" xfId="0" applyFont="1" applyBorder="1" applyAlignment="1">
      <alignment horizontal="left" vertical="top" wrapText="1"/>
    </xf>
    <xf numFmtId="0" fontId="26" fillId="0" borderId="12" xfId="0" applyFont="1" applyBorder="1" applyAlignment="1">
      <alignment horizontal="center" vertical="center"/>
    </xf>
    <xf numFmtId="0" fontId="26" fillId="6" borderId="0" xfId="0" applyFont="1" applyFill="1"/>
    <xf numFmtId="0" fontId="26" fillId="0" borderId="0" xfId="0" applyFont="1" applyAlignment="1">
      <alignment vertical="center"/>
    </xf>
    <xf numFmtId="0" fontId="26" fillId="6" borderId="12" xfId="0" applyFont="1" applyFill="1" applyBorder="1" applyAlignment="1">
      <alignment horizontal="center" vertical="center"/>
    </xf>
    <xf numFmtId="0" fontId="26" fillId="0" borderId="0" xfId="0" applyFont="1" applyAlignment="1">
      <alignment horizontal="center" vertical="center"/>
    </xf>
    <xf numFmtId="0" fontId="28" fillId="0" borderId="20" xfId="0" applyFont="1" applyBorder="1" applyAlignment="1">
      <alignment horizontal="center" vertical="center"/>
    </xf>
    <xf numFmtId="0" fontId="9" fillId="0" borderId="0" xfId="0" applyFont="1" applyAlignment="1">
      <alignment vertical="center"/>
    </xf>
    <xf numFmtId="0" fontId="29" fillId="14" borderId="12" xfId="0" applyFont="1" applyFill="1" applyBorder="1" applyAlignment="1">
      <alignment horizontal="center" vertical="center"/>
    </xf>
    <xf numFmtId="0" fontId="9" fillId="15" borderId="12" xfId="0" applyFont="1" applyFill="1" applyBorder="1" applyAlignment="1">
      <alignment horizontal="center" vertical="center"/>
    </xf>
    <xf numFmtId="0" fontId="9" fillId="10" borderId="12" xfId="0" applyFont="1" applyFill="1" applyBorder="1" applyAlignment="1">
      <alignment horizontal="center" vertical="center"/>
    </xf>
    <xf numFmtId="0" fontId="9" fillId="11" borderId="12" xfId="0" applyFont="1" applyFill="1" applyBorder="1" applyAlignment="1">
      <alignment horizontal="center" vertical="center"/>
    </xf>
    <xf numFmtId="0" fontId="28" fillId="0" borderId="12" xfId="0" applyFont="1" applyBorder="1" applyAlignment="1">
      <alignment horizontal="center" vertical="center"/>
    </xf>
    <xf numFmtId="0" fontId="28" fillId="6" borderId="0" xfId="0" applyFont="1" applyFill="1" applyAlignment="1">
      <alignment vertical="center"/>
    </xf>
    <xf numFmtId="0" fontId="28" fillId="0" borderId="0" xfId="0" applyFont="1" applyAlignment="1">
      <alignment vertical="center"/>
    </xf>
    <xf numFmtId="0" fontId="22" fillId="0" borderId="0" xfId="0" applyFont="1" applyAlignment="1">
      <alignment horizontal="center" vertical="top"/>
    </xf>
    <xf numFmtId="0" fontId="9" fillId="0" borderId="0" xfId="0" applyFont="1" applyAlignment="1">
      <alignment horizontal="center" vertical="top"/>
    </xf>
    <xf numFmtId="0" fontId="9" fillId="16" borderId="12" xfId="0" applyFont="1" applyFill="1" applyBorder="1" applyAlignment="1">
      <alignment horizontal="center" vertical="center"/>
    </xf>
    <xf numFmtId="0" fontId="9" fillId="6" borderId="12" xfId="0" applyFont="1" applyFill="1" applyBorder="1" applyAlignment="1">
      <alignment horizontal="center" vertical="center"/>
    </xf>
    <xf numFmtId="0" fontId="26" fillId="6" borderId="12" xfId="0" applyFont="1" applyFill="1" applyBorder="1" applyAlignment="1">
      <alignment horizontal="left" vertical="top" wrapText="1"/>
    </xf>
    <xf numFmtId="0" fontId="22" fillId="6" borderId="0" xfId="0" applyFont="1" applyFill="1" applyAlignment="1">
      <alignment horizontal="center" vertical="top"/>
    </xf>
    <xf numFmtId="0" fontId="26" fillId="0" borderId="12" xfId="0" quotePrefix="1" applyFont="1" applyBorder="1" applyAlignment="1">
      <alignment horizontal="left" vertical="top" wrapText="1"/>
    </xf>
    <xf numFmtId="0" fontId="30" fillId="0" borderId="12" xfId="0" applyFont="1" applyBorder="1" applyAlignment="1">
      <alignment horizontal="center" vertical="center"/>
    </xf>
    <xf numFmtId="0" fontId="31" fillId="14" borderId="12" xfId="0" applyFont="1" applyFill="1" applyBorder="1" applyAlignment="1">
      <alignment horizontal="center" vertical="center"/>
    </xf>
    <xf numFmtId="0" fontId="30" fillId="6" borderId="0" xfId="0" applyFont="1" applyFill="1"/>
    <xf numFmtId="0" fontId="30" fillId="0" borderId="0" xfId="0" applyFont="1"/>
    <xf numFmtId="0" fontId="12" fillId="11" borderId="20" xfId="0" applyFont="1" applyFill="1" applyBorder="1" applyAlignment="1">
      <alignment horizontal="center" vertical="center"/>
    </xf>
    <xf numFmtId="0" fontId="32" fillId="0" borderId="12" xfId="0" applyFont="1" applyBorder="1" applyAlignment="1">
      <alignment horizontal="left" vertical="top" wrapText="1"/>
    </xf>
    <xf numFmtId="0" fontId="26" fillId="12" borderId="12" xfId="0" applyFont="1" applyFill="1" applyBorder="1" applyAlignment="1">
      <alignment horizontal="left" vertical="top" wrapText="1"/>
    </xf>
    <xf numFmtId="0" fontId="4" fillId="3" borderId="12" xfId="0" quotePrefix="1" applyFont="1" applyFill="1" applyBorder="1" applyAlignment="1">
      <alignment horizontal="left" vertical="center" wrapText="1" readingOrder="1"/>
    </xf>
    <xf numFmtId="0" fontId="26" fillId="0" borderId="0" xfId="0" applyFont="1" applyAlignment="1">
      <alignment vertical="top" wrapText="1"/>
    </xf>
    <xf numFmtId="0" fontId="32" fillId="0" borderId="0" xfId="0" applyFont="1" applyAlignment="1">
      <alignment vertical="top" wrapText="1"/>
    </xf>
    <xf numFmtId="0" fontId="4" fillId="0" borderId="12" xfId="0" quotePrefix="1" applyFont="1" applyBorder="1" applyAlignment="1">
      <alignment horizontal="left" vertical="top" wrapText="1" readingOrder="1"/>
    </xf>
    <xf numFmtId="0" fontId="4" fillId="0" borderId="12" xfId="0" quotePrefix="1" applyFont="1" applyBorder="1" applyAlignment="1">
      <alignment horizontal="left" vertical="center" wrapText="1" readingOrder="1"/>
    </xf>
    <xf numFmtId="0" fontId="26" fillId="17" borderId="12" xfId="0" applyFont="1" applyFill="1" applyBorder="1" applyAlignment="1">
      <alignment horizontal="center" vertical="center"/>
    </xf>
    <xf numFmtId="0" fontId="4" fillId="17" borderId="12" xfId="0" quotePrefix="1" applyFont="1" applyFill="1" applyBorder="1" applyAlignment="1">
      <alignment horizontal="left" vertical="center" wrapText="1" readingOrder="1"/>
    </xf>
    <xf numFmtId="0" fontId="21" fillId="0" borderId="0" xfId="0" applyFont="1" applyAlignment="1">
      <alignment horizontal="center" vertical="center"/>
    </xf>
    <xf numFmtId="0" fontId="11" fillId="19" borderId="12" xfId="0" applyFont="1" applyFill="1" applyBorder="1" applyAlignment="1">
      <alignment horizontal="center" vertical="center"/>
    </xf>
    <xf numFmtId="0" fontId="11" fillId="18" borderId="12" xfId="0" applyFont="1" applyFill="1" applyBorder="1" applyAlignment="1">
      <alignment horizontal="center" vertical="center"/>
    </xf>
    <xf numFmtId="0" fontId="11" fillId="0" borderId="12" xfId="0" applyFont="1" applyBorder="1" applyAlignment="1">
      <alignment horizontal="center" vertical="center"/>
    </xf>
    <xf numFmtId="0" fontId="11" fillId="7" borderId="12" xfId="0" applyFont="1" applyFill="1" applyBorder="1" applyAlignment="1">
      <alignment horizontal="center" vertical="center"/>
    </xf>
    <xf numFmtId="0" fontId="34" fillId="19" borderId="12" xfId="0" applyFont="1" applyFill="1" applyBorder="1" applyAlignment="1">
      <alignment horizontal="center" vertical="center"/>
    </xf>
    <xf numFmtId="0" fontId="35" fillId="19" borderId="12" xfId="0" applyFont="1" applyFill="1" applyBorder="1" applyAlignment="1">
      <alignment horizontal="center" vertical="center"/>
    </xf>
    <xf numFmtId="0" fontId="26" fillId="6" borderId="0" xfId="0" applyFont="1" applyFill="1" applyAlignment="1">
      <alignment horizontal="center" vertical="center"/>
    </xf>
    <xf numFmtId="0" fontId="21" fillId="6" borderId="0" xfId="0" applyFont="1" applyFill="1" applyAlignment="1">
      <alignment horizontal="center" vertical="center"/>
    </xf>
    <xf numFmtId="0" fontId="12" fillId="11" borderId="44" xfId="0" applyFont="1" applyFill="1" applyBorder="1" applyAlignment="1">
      <alignment horizontal="center" vertical="center"/>
    </xf>
    <xf numFmtId="0" fontId="9" fillId="11" borderId="45" xfId="0" applyFont="1" applyFill="1" applyBorder="1" applyAlignment="1">
      <alignment horizontal="center" vertical="center"/>
    </xf>
    <xf numFmtId="0" fontId="9" fillId="0" borderId="0" xfId="0" applyFont="1" applyAlignment="1">
      <alignment horizontal="center" vertical="center"/>
    </xf>
    <xf numFmtId="0" fontId="43" fillId="0" borderId="0" xfId="0" applyFont="1" applyAlignment="1">
      <alignment vertical="center"/>
    </xf>
    <xf numFmtId="0" fontId="43" fillId="0" borderId="18" xfId="0" applyFont="1" applyBorder="1" applyAlignment="1">
      <alignment vertical="center"/>
    </xf>
    <xf numFmtId="0" fontId="43" fillId="0" borderId="19" xfId="0" applyFont="1" applyBorder="1" applyAlignment="1">
      <alignment vertical="center"/>
    </xf>
    <xf numFmtId="0" fontId="43" fillId="0" borderId="27" xfId="0" applyFont="1" applyBorder="1" applyAlignment="1">
      <alignment vertical="center"/>
    </xf>
    <xf numFmtId="9" fontId="43" fillId="0" borderId="12" xfId="4" applyFont="1" applyBorder="1" applyAlignment="1">
      <alignment horizontal="center" vertical="center"/>
    </xf>
    <xf numFmtId="0" fontId="43" fillId="0" borderId="0" xfId="0" applyFont="1" applyAlignment="1">
      <alignment horizontal="center" vertical="center"/>
    </xf>
    <xf numFmtId="0" fontId="44" fillId="0" borderId="0" xfId="0" applyFont="1"/>
    <xf numFmtId="0" fontId="45" fillId="7" borderId="18" xfId="0" applyFont="1" applyFill="1" applyBorder="1" applyAlignment="1">
      <alignment horizontal="center" vertical="center"/>
    </xf>
    <xf numFmtId="0" fontId="45" fillId="7" borderId="12" xfId="0" applyFont="1" applyFill="1" applyBorder="1" applyAlignment="1">
      <alignment horizontal="center" vertical="center"/>
    </xf>
    <xf numFmtId="0" fontId="46" fillId="0" borderId="0" xfId="0" applyFont="1" applyAlignment="1">
      <alignment vertical="center"/>
    </xf>
    <xf numFmtId="0" fontId="19" fillId="9" borderId="15" xfId="0" applyFont="1" applyFill="1" applyBorder="1" applyAlignment="1">
      <alignment vertical="center"/>
    </xf>
    <xf numFmtId="0" fontId="19" fillId="9" borderId="4" xfId="0" applyFont="1" applyFill="1" applyBorder="1" applyAlignment="1">
      <alignment vertical="center"/>
    </xf>
    <xf numFmtId="0" fontId="46" fillId="9" borderId="4" xfId="0" applyFont="1" applyFill="1" applyBorder="1" applyAlignment="1">
      <alignment vertical="center"/>
    </xf>
    <xf numFmtId="0" fontId="19" fillId="9" borderId="16" xfId="0" applyFont="1" applyFill="1" applyBorder="1" applyAlignment="1">
      <alignment vertical="center"/>
    </xf>
    <xf numFmtId="0" fontId="13" fillId="0" borderId="8" xfId="0" applyFont="1" applyBorder="1" applyAlignment="1">
      <alignment horizontal="center" vertical="center"/>
    </xf>
    <xf numFmtId="0" fontId="13" fillId="0" borderId="5" xfId="0" applyFont="1" applyBorder="1" applyAlignment="1">
      <alignment horizontal="center" vertical="center"/>
    </xf>
    <xf numFmtId="0" fontId="12" fillId="0" borderId="7" xfId="0" applyFont="1" applyBorder="1"/>
    <xf numFmtId="0" fontId="14" fillId="0" borderId="7" xfId="0" applyFont="1" applyBorder="1"/>
    <xf numFmtId="0" fontId="14" fillId="0" borderId="6" xfId="0" applyFont="1" applyBorder="1"/>
    <xf numFmtId="0" fontId="12" fillId="0" borderId="10" xfId="0" applyFont="1" applyBorder="1"/>
    <xf numFmtId="0" fontId="12" fillId="0" borderId="1" xfId="0" applyFont="1" applyBorder="1"/>
    <xf numFmtId="0" fontId="12" fillId="0" borderId="11" xfId="0" applyFont="1" applyBorder="1"/>
    <xf numFmtId="0" fontId="12" fillId="0" borderId="5" xfId="0" applyFont="1" applyBorder="1"/>
    <xf numFmtId="0" fontId="12" fillId="0" borderId="9" xfId="0" applyFont="1" applyBorder="1"/>
    <xf numFmtId="0" fontId="12" fillId="0" borderId="48" xfId="0" applyFont="1" applyBorder="1"/>
    <xf numFmtId="0" fontId="12" fillId="0" borderId="49" xfId="0" applyFont="1" applyBorder="1"/>
    <xf numFmtId="0" fontId="12" fillId="0" borderId="51" xfId="0" applyFont="1" applyBorder="1"/>
    <xf numFmtId="0" fontId="12" fillId="0" borderId="52" xfId="0" applyFont="1" applyBorder="1"/>
    <xf numFmtId="0" fontId="11" fillId="0" borderId="5" xfId="0" applyFont="1" applyBorder="1"/>
    <xf numFmtId="0" fontId="11" fillId="0" borderId="48" xfId="0" applyFont="1" applyBorder="1"/>
    <xf numFmtId="0" fontId="11" fillId="0" borderId="51" xfId="0" applyFont="1" applyBorder="1"/>
    <xf numFmtId="0" fontId="11" fillId="6" borderId="51" xfId="0" applyFont="1" applyFill="1" applyBorder="1"/>
    <xf numFmtId="0" fontId="11" fillId="6" borderId="48" xfId="0" applyFont="1" applyFill="1" applyBorder="1"/>
    <xf numFmtId="0" fontId="11" fillId="0" borderId="1" xfId="0" applyFont="1" applyBorder="1"/>
    <xf numFmtId="0" fontId="11" fillId="0" borderId="0" xfId="0" applyFont="1"/>
    <xf numFmtId="0" fontId="42" fillId="6" borderId="51" xfId="0" applyFont="1" applyFill="1" applyBorder="1"/>
    <xf numFmtId="0" fontId="24" fillId="0" borderId="5" xfId="0" applyFont="1" applyBorder="1"/>
    <xf numFmtId="0" fontId="24" fillId="0" borderId="51" xfId="0" applyFont="1" applyBorder="1"/>
    <xf numFmtId="0" fontId="24" fillId="0" borderId="0" xfId="0" applyFont="1"/>
    <xf numFmtId="0" fontId="11" fillId="6" borderId="52" xfId="0" applyFont="1" applyFill="1" applyBorder="1"/>
    <xf numFmtId="0" fontId="11" fillId="6" borderId="49" xfId="0" applyFont="1" applyFill="1" applyBorder="1"/>
    <xf numFmtId="0" fontId="12" fillId="0" borderId="0" xfId="0" applyFont="1" applyAlignment="1">
      <alignment horizontal="left" vertical="center" wrapText="1"/>
    </xf>
    <xf numFmtId="0" fontId="12" fillId="0" borderId="0" xfId="0" applyFont="1" applyAlignment="1">
      <alignment horizontal="center" vertical="center"/>
    </xf>
    <xf numFmtId="0" fontId="23" fillId="0" borderId="0" xfId="1" applyFont="1" applyAlignment="1">
      <alignment horizontal="left" vertical="center" wrapText="1"/>
    </xf>
    <xf numFmtId="0" fontId="12" fillId="0" borderId="2" xfId="0" applyFont="1" applyBorder="1" applyAlignment="1">
      <alignment vertical="center"/>
    </xf>
    <xf numFmtId="0" fontId="12" fillId="0" borderId="3" xfId="0" applyFont="1" applyBorder="1" applyAlignment="1">
      <alignment vertical="center"/>
    </xf>
    <xf numFmtId="0" fontId="47" fillId="0" borderId="12" xfId="0" applyFont="1" applyBorder="1" applyAlignment="1">
      <alignment horizontal="center" vertical="center" wrapText="1"/>
    </xf>
    <xf numFmtId="0" fontId="47" fillId="0" borderId="12" xfId="0" applyFont="1" applyBorder="1" applyAlignment="1">
      <alignment horizontal="left" vertical="center"/>
    </xf>
    <xf numFmtId="0" fontId="49" fillId="0" borderId="0" xfId="0" applyFont="1" applyAlignment="1">
      <alignment vertical="center" wrapText="1"/>
    </xf>
    <xf numFmtId="0" fontId="50" fillId="0" borderId="0" xfId="0" applyFont="1" applyAlignment="1">
      <alignment vertical="center"/>
    </xf>
    <xf numFmtId="0" fontId="32" fillId="17" borderId="12" xfId="0" applyFont="1" applyFill="1" applyBorder="1" applyAlignment="1">
      <alignment vertical="center" wrapText="1"/>
    </xf>
    <xf numFmtId="0" fontId="26" fillId="17" borderId="12" xfId="0" applyFont="1" applyFill="1" applyBorder="1" applyAlignment="1">
      <alignment vertical="center" wrapText="1"/>
    </xf>
    <xf numFmtId="0" fontId="26" fillId="17" borderId="12" xfId="0" applyFont="1" applyFill="1" applyBorder="1" applyAlignment="1">
      <alignment vertical="center"/>
    </xf>
    <xf numFmtId="0" fontId="26" fillId="6" borderId="0" xfId="0" applyFont="1" applyFill="1" applyAlignment="1">
      <alignment horizontal="center"/>
    </xf>
    <xf numFmtId="0" fontId="26" fillId="0" borderId="0" xfId="0" applyFont="1" applyAlignment="1">
      <alignment horizontal="center"/>
    </xf>
    <xf numFmtId="0" fontId="21" fillId="0" borderId="0" xfId="0" applyFont="1" applyAlignment="1">
      <alignment horizontal="center"/>
    </xf>
    <xf numFmtId="0" fontId="19" fillId="4" borderId="13" xfId="0" applyFont="1" applyFill="1" applyBorder="1" applyAlignment="1">
      <alignment horizontal="center" vertical="center"/>
    </xf>
    <xf numFmtId="0" fontId="47" fillId="0" borderId="0" xfId="0" applyFont="1"/>
    <xf numFmtId="0" fontId="47" fillId="0" borderId="0" xfId="0" applyFont="1" applyAlignment="1">
      <alignment horizontal="center" vertical="center"/>
    </xf>
    <xf numFmtId="0" fontId="51" fillId="5" borderId="12" xfId="0" applyFont="1" applyFill="1" applyBorder="1" applyAlignment="1">
      <alignment horizontal="center" vertical="top" wrapText="1" readingOrder="1"/>
    </xf>
    <xf numFmtId="0" fontId="52" fillId="8" borderId="12" xfId="0" applyFont="1" applyFill="1" applyBorder="1" applyAlignment="1">
      <alignment horizontal="left" vertical="top" wrapText="1" readingOrder="1"/>
    </xf>
    <xf numFmtId="0" fontId="47" fillId="0" borderId="12" xfId="0" applyFont="1" applyBorder="1" applyAlignment="1">
      <alignment horizontal="center" vertical="center"/>
    </xf>
    <xf numFmtId="0" fontId="47" fillId="0" borderId="18" xfId="0" applyFont="1" applyBorder="1" applyAlignment="1">
      <alignment horizontal="center" vertical="center" wrapText="1"/>
    </xf>
    <xf numFmtId="0" fontId="47" fillId="0" borderId="18" xfId="0" applyFont="1" applyBorder="1" applyAlignment="1">
      <alignment horizontal="left" vertical="center"/>
    </xf>
    <xf numFmtId="0" fontId="52" fillId="8" borderId="27" xfId="0" applyFont="1" applyFill="1" applyBorder="1" applyAlignment="1">
      <alignment horizontal="left" vertical="top" wrapText="1" readingOrder="1"/>
    </xf>
    <xf numFmtId="0" fontId="47" fillId="0" borderId="27" xfId="0" applyFont="1" applyBorder="1" applyAlignment="1">
      <alignment horizontal="center" vertical="center"/>
    </xf>
    <xf numFmtId="0" fontId="11" fillId="0" borderId="2" xfId="0" applyFont="1" applyBorder="1" applyAlignment="1">
      <alignment horizontal="center" vertical="center"/>
    </xf>
    <xf numFmtId="0" fontId="11" fillId="0" borderId="33" xfId="0" applyFont="1" applyBorder="1" applyAlignment="1">
      <alignment horizontal="center" vertical="center"/>
    </xf>
    <xf numFmtId="0" fontId="12" fillId="0" borderId="0" xfId="0" applyFont="1" applyAlignment="1" applyProtection="1">
      <alignment vertical="center"/>
      <protection hidden="1"/>
    </xf>
    <xf numFmtId="0" fontId="9" fillId="0" borderId="0" xfId="0" applyFont="1" applyAlignment="1" applyProtection="1">
      <alignment vertical="center"/>
      <protection hidden="1"/>
    </xf>
    <xf numFmtId="0" fontId="12" fillId="0" borderId="0" xfId="0" applyFont="1" applyProtection="1">
      <protection hidden="1"/>
    </xf>
    <xf numFmtId="0" fontId="9" fillId="0" borderId="0" xfId="0" applyFont="1" applyAlignment="1" applyProtection="1">
      <alignment horizontal="center" vertical="center"/>
      <protection hidden="1"/>
    </xf>
    <xf numFmtId="0" fontId="26" fillId="0" borderId="0" xfId="0" applyFont="1" applyAlignment="1">
      <alignment horizontal="left"/>
    </xf>
    <xf numFmtId="0" fontId="55" fillId="27" borderId="12" xfId="0" applyFont="1" applyFill="1" applyBorder="1" applyAlignment="1">
      <alignment horizontal="center" vertical="center" wrapText="1" readingOrder="1"/>
    </xf>
    <xf numFmtId="0" fontId="55" fillId="27" borderId="12" xfId="0" applyFont="1" applyFill="1" applyBorder="1" applyAlignment="1">
      <alignment horizontal="left" vertical="center" wrapText="1" readingOrder="1"/>
    </xf>
    <xf numFmtId="0" fontId="55" fillId="30" borderId="12" xfId="0" applyFont="1" applyFill="1" applyBorder="1" applyAlignment="1">
      <alignment horizontal="center" vertical="center" wrapText="1" readingOrder="1"/>
    </xf>
    <xf numFmtId="0" fontId="55" fillId="30" borderId="12" xfId="0" applyFont="1" applyFill="1" applyBorder="1" applyAlignment="1">
      <alignment horizontal="left" vertical="center" wrapText="1" readingOrder="1"/>
    </xf>
    <xf numFmtId="0" fontId="56" fillId="22" borderId="12" xfId="0" applyFont="1" applyFill="1" applyBorder="1" applyAlignment="1">
      <alignment horizontal="center" vertical="center" wrapText="1" readingOrder="1"/>
    </xf>
    <xf numFmtId="0" fontId="56" fillId="23" borderId="12" xfId="0" applyFont="1" applyFill="1" applyBorder="1" applyAlignment="1">
      <alignment horizontal="center" vertical="center" wrapText="1" readingOrder="1"/>
    </xf>
    <xf numFmtId="0" fontId="56" fillId="24" borderId="12" xfId="0" applyFont="1" applyFill="1" applyBorder="1" applyAlignment="1">
      <alignment horizontal="center" vertical="center" wrapText="1" readingOrder="1"/>
    </xf>
    <xf numFmtId="0" fontId="56" fillId="21" borderId="12" xfId="0" applyFont="1" applyFill="1" applyBorder="1" applyAlignment="1">
      <alignment horizontal="center" vertical="center" wrapText="1" readingOrder="1"/>
    </xf>
    <xf numFmtId="0" fontId="56" fillId="25" borderId="12" xfId="0" applyFont="1" applyFill="1" applyBorder="1" applyAlignment="1">
      <alignment horizontal="center" vertical="center" wrapText="1" readingOrder="1"/>
    </xf>
    <xf numFmtId="0" fontId="56" fillId="26" borderId="12" xfId="0" applyFont="1" applyFill="1" applyBorder="1" applyAlignment="1">
      <alignment horizontal="center" vertical="center" wrapText="1" readingOrder="1"/>
    </xf>
    <xf numFmtId="0" fontId="55" fillId="28" borderId="53" xfId="0" applyFont="1" applyFill="1" applyBorder="1" applyAlignment="1">
      <alignment horizontal="center" vertical="center" wrapText="1" readingOrder="1"/>
    </xf>
    <xf numFmtId="0" fontId="59" fillId="28" borderId="53" xfId="0" quotePrefix="1" applyFont="1" applyFill="1" applyBorder="1" applyAlignment="1">
      <alignment horizontal="left" vertical="center" wrapText="1" readingOrder="1"/>
    </xf>
    <xf numFmtId="0" fontId="5" fillId="29" borderId="53" xfId="0" applyFont="1" applyFill="1" applyBorder="1" applyAlignment="1">
      <alignment horizontal="center" vertical="center" wrapText="1"/>
    </xf>
    <xf numFmtId="0" fontId="5" fillId="29" borderId="28" xfId="0" applyFont="1" applyFill="1" applyBorder="1" applyAlignment="1">
      <alignment vertical="center" wrapText="1"/>
    </xf>
    <xf numFmtId="0" fontId="55" fillId="28" borderId="28" xfId="0" applyFont="1" applyFill="1" applyBorder="1" applyAlignment="1">
      <alignment horizontal="center" vertical="center" wrapText="1" readingOrder="1"/>
    </xf>
    <xf numFmtId="0" fontId="55" fillId="28" borderId="54" xfId="0" applyFont="1" applyFill="1" applyBorder="1" applyAlignment="1">
      <alignment horizontal="center" vertical="center" wrapText="1" readingOrder="1"/>
    </xf>
    <xf numFmtId="0" fontId="59" fillId="28" borderId="54" xfId="0" quotePrefix="1" applyFont="1" applyFill="1" applyBorder="1" applyAlignment="1">
      <alignment horizontal="left" vertical="center" wrapText="1" readingOrder="1"/>
    </xf>
    <xf numFmtId="0" fontId="59" fillId="28" borderId="54" xfId="0" applyFont="1" applyFill="1" applyBorder="1" applyAlignment="1">
      <alignment horizontal="left" vertical="center" wrapText="1" readingOrder="1"/>
    </xf>
    <xf numFmtId="0" fontId="5" fillId="29" borderId="57" xfId="0" applyFont="1" applyFill="1" applyBorder="1" applyAlignment="1">
      <alignment horizontal="left" vertical="center" wrapText="1"/>
    </xf>
    <xf numFmtId="0" fontId="44" fillId="0" borderId="0" xfId="0" applyFont="1" applyAlignment="1">
      <alignment horizontal="center"/>
    </xf>
    <xf numFmtId="0" fontId="5" fillId="29" borderId="56" xfId="0" applyFont="1" applyFill="1" applyBorder="1" applyAlignment="1">
      <alignment horizontal="left" vertical="center" wrapText="1"/>
    </xf>
    <xf numFmtId="0" fontId="5" fillId="29" borderId="57" xfId="0" applyFont="1" applyFill="1" applyBorder="1" applyAlignment="1">
      <alignment horizontal="center" vertical="center" wrapText="1"/>
    </xf>
    <xf numFmtId="0" fontId="5" fillId="29" borderId="56" xfId="0" applyFont="1" applyFill="1" applyBorder="1" applyAlignment="1">
      <alignment horizontal="center" vertical="center" wrapText="1"/>
    </xf>
    <xf numFmtId="0" fontId="55" fillId="28" borderId="57" xfId="0" applyFont="1" applyFill="1" applyBorder="1" applyAlignment="1">
      <alignment horizontal="center" vertical="center" wrapText="1" readingOrder="1"/>
    </xf>
    <xf numFmtId="0" fontId="55" fillId="28" borderId="55" xfId="0" applyFont="1" applyFill="1" applyBorder="1" applyAlignment="1">
      <alignment horizontal="center" vertical="center" wrapText="1" readingOrder="1"/>
    </xf>
    <xf numFmtId="0" fontId="55" fillId="32" borderId="12" xfId="0" applyFont="1" applyFill="1" applyBorder="1" applyAlignment="1">
      <alignment horizontal="center" vertical="center" wrapText="1" readingOrder="1"/>
    </xf>
    <xf numFmtId="0" fontId="60" fillId="23" borderId="12" xfId="0" applyFont="1" applyFill="1" applyBorder="1" applyAlignment="1">
      <alignment horizontal="center" vertical="center" wrapText="1" readingOrder="1"/>
    </xf>
    <xf numFmtId="0" fontId="61" fillId="23" borderId="12" xfId="0" applyFont="1" applyFill="1" applyBorder="1" applyAlignment="1">
      <alignment horizontal="center" vertical="center" wrapText="1"/>
    </xf>
    <xf numFmtId="0" fontId="59" fillId="28" borderId="28" xfId="0" applyFont="1" applyFill="1" applyBorder="1" applyAlignment="1">
      <alignment horizontal="left" vertical="center" wrapText="1" readingOrder="1"/>
    </xf>
    <xf numFmtId="0" fontId="57" fillId="24" borderId="53" xfId="0" applyFont="1" applyFill="1" applyBorder="1" applyAlignment="1">
      <alignment horizontal="center" vertical="center" wrapText="1" readingOrder="1"/>
    </xf>
    <xf numFmtId="0" fontId="57" fillId="21" borderId="54" xfId="0" applyFont="1" applyFill="1" applyBorder="1" applyAlignment="1">
      <alignment horizontal="center" vertical="center" wrapText="1" readingOrder="1"/>
    </xf>
    <xf numFmtId="0" fontId="57" fillId="24" borderId="54" xfId="0" applyFont="1" applyFill="1" applyBorder="1" applyAlignment="1">
      <alignment horizontal="center" vertical="center" wrapText="1" readingOrder="1"/>
    </xf>
    <xf numFmtId="0" fontId="57" fillId="25" borderId="54" xfId="0" applyFont="1" applyFill="1" applyBorder="1" applyAlignment="1">
      <alignment horizontal="center" vertical="center" wrapText="1" readingOrder="1"/>
    </xf>
    <xf numFmtId="0" fontId="57" fillId="31" borderId="54" xfId="0" applyFont="1" applyFill="1" applyBorder="1" applyAlignment="1">
      <alignment horizontal="center" vertical="center" wrapText="1" readingOrder="1"/>
    </xf>
    <xf numFmtId="0" fontId="57" fillId="31" borderId="28" xfId="0" applyFont="1" applyFill="1" applyBorder="1" applyAlignment="1">
      <alignment horizontal="center" vertical="center" wrapText="1" readingOrder="1"/>
    </xf>
    <xf numFmtId="0" fontId="62" fillId="32" borderId="54" xfId="0" applyFont="1" applyFill="1" applyBorder="1" applyAlignment="1">
      <alignment horizontal="center" vertical="center" wrapText="1" readingOrder="1"/>
    </xf>
    <xf numFmtId="0" fontId="62" fillId="32" borderId="55" xfId="0" applyFont="1" applyFill="1" applyBorder="1" applyAlignment="1">
      <alignment horizontal="center" vertical="center" wrapText="1" readingOrder="1"/>
    </xf>
    <xf numFmtId="0" fontId="62" fillId="32" borderId="57" xfId="0" applyFont="1" applyFill="1" applyBorder="1" applyAlignment="1">
      <alignment horizontal="center" vertical="center" wrapText="1" readingOrder="1"/>
    </xf>
    <xf numFmtId="0" fontId="62" fillId="32" borderId="28" xfId="0" applyFont="1" applyFill="1" applyBorder="1" applyAlignment="1">
      <alignment horizontal="center" vertical="center" wrapText="1" readingOrder="1"/>
    </xf>
    <xf numFmtId="164" fontId="11" fillId="0" borderId="12" xfId="0" applyNumberFormat="1" applyFont="1" applyBorder="1" applyAlignment="1">
      <alignment horizontal="center" vertical="center"/>
    </xf>
    <xf numFmtId="164" fontId="11" fillId="0" borderId="27" xfId="0" applyNumberFormat="1" applyFont="1" applyBorder="1" applyAlignment="1">
      <alignment horizontal="center" vertical="center"/>
    </xf>
    <xf numFmtId="164" fontId="11" fillId="15" borderId="12" xfId="0" applyNumberFormat="1" applyFont="1" applyFill="1" applyBorder="1" applyAlignment="1">
      <alignment horizontal="center" vertical="center"/>
    </xf>
    <xf numFmtId="164" fontId="11" fillId="2" borderId="12" xfId="0" applyNumberFormat="1" applyFont="1" applyFill="1" applyBorder="1" applyAlignment="1">
      <alignment horizontal="center" vertical="center"/>
    </xf>
    <xf numFmtId="164" fontId="45" fillId="7" borderId="18" xfId="0" applyNumberFormat="1" applyFont="1" applyFill="1" applyBorder="1" applyAlignment="1">
      <alignment horizontal="center" vertical="center"/>
    </xf>
    <xf numFmtId="0" fontId="11" fillId="0" borderId="0" xfId="0" applyFont="1" applyAlignment="1">
      <alignment vertical="center" wrapText="1"/>
    </xf>
    <xf numFmtId="0" fontId="14" fillId="0" borderId="24" xfId="0" applyFont="1" applyBorder="1" applyAlignment="1">
      <alignment horizontal="center"/>
    </xf>
    <xf numFmtId="0" fontId="14" fillId="0" borderId="26" xfId="0" applyFont="1" applyBorder="1" applyAlignment="1">
      <alignment horizontal="center"/>
    </xf>
    <xf numFmtId="9" fontId="45" fillId="12" borderId="12" xfId="4" applyFont="1" applyFill="1" applyBorder="1" applyAlignment="1">
      <alignment horizontal="center" vertical="center"/>
    </xf>
    <xf numFmtId="0" fontId="42" fillId="13" borderId="51" xfId="0" applyFont="1" applyFill="1" applyBorder="1"/>
    <xf numFmtId="0" fontId="11" fillId="13" borderId="51" xfId="0" applyFont="1" applyFill="1" applyBorder="1"/>
    <xf numFmtId="0" fontId="11" fillId="13" borderId="52" xfId="0" applyFont="1" applyFill="1" applyBorder="1"/>
    <xf numFmtId="0" fontId="11" fillId="13" borderId="48" xfId="0" applyFont="1" applyFill="1" applyBorder="1"/>
    <xf numFmtId="0" fontId="11" fillId="13" borderId="49" xfId="0" applyFont="1" applyFill="1" applyBorder="1"/>
    <xf numFmtId="0" fontId="15" fillId="9" borderId="40" xfId="1" quotePrefix="1" applyFont="1" applyFill="1" applyBorder="1" applyAlignment="1">
      <alignment horizontal="center" vertical="center" wrapText="1"/>
    </xf>
    <xf numFmtId="0" fontId="13" fillId="0" borderId="9" xfId="0" applyFont="1" applyBorder="1" applyAlignment="1">
      <alignment horizontal="center" vertical="center"/>
    </xf>
    <xf numFmtId="0" fontId="14" fillId="0" borderId="3" xfId="0" applyFont="1" applyBorder="1" applyAlignment="1">
      <alignment horizontal="center"/>
    </xf>
    <xf numFmtId="0" fontId="14" fillId="0" borderId="2" xfId="0" applyFont="1" applyBorder="1" applyAlignment="1">
      <alignment horizontal="center"/>
    </xf>
    <xf numFmtId="0" fontId="14" fillId="0" borderId="7" xfId="0" applyFont="1" applyBorder="1" applyAlignment="1">
      <alignment horizontal="center"/>
    </xf>
    <xf numFmtId="0" fontId="14" fillId="0" borderId="6" xfId="0" applyFont="1" applyBorder="1" applyAlignment="1">
      <alignment horizontal="center"/>
    </xf>
    <xf numFmtId="0" fontId="14" fillId="0" borderId="59" xfId="0" applyFont="1" applyBorder="1" applyAlignment="1">
      <alignment horizontal="center"/>
    </xf>
    <xf numFmtId="0" fontId="14" fillId="0" borderId="60" xfId="0" applyFont="1" applyBorder="1" applyAlignment="1">
      <alignment horizontal="center"/>
    </xf>
    <xf numFmtId="0" fontId="12" fillId="0" borderId="6" xfId="0" applyFont="1" applyBorder="1"/>
    <xf numFmtId="0" fontId="12" fillId="35" borderId="20" xfId="0" applyFont="1" applyFill="1" applyBorder="1" applyAlignment="1">
      <alignment horizontal="center" vertical="center"/>
    </xf>
    <xf numFmtId="0" fontId="9" fillId="35" borderId="28" xfId="0" applyFont="1" applyFill="1" applyBorder="1" applyAlignment="1">
      <alignment horizontal="center" vertical="center"/>
    </xf>
    <xf numFmtId="0" fontId="12" fillId="9" borderId="14" xfId="0" applyFont="1" applyFill="1" applyBorder="1" applyAlignment="1" applyProtection="1">
      <alignment horizontal="center" vertical="center"/>
      <protection hidden="1"/>
    </xf>
    <xf numFmtId="0" fontId="12" fillId="9" borderId="17" xfId="0" applyFont="1" applyFill="1" applyBorder="1" applyAlignment="1" applyProtection="1">
      <alignment horizontal="center" vertical="center"/>
      <protection hidden="1"/>
    </xf>
    <xf numFmtId="0" fontId="14" fillId="0" borderId="8" xfId="0" applyFont="1" applyBorder="1" applyAlignment="1">
      <alignment horizontal="center"/>
    </xf>
    <xf numFmtId="0" fontId="14" fillId="0" borderId="66" xfId="0" applyFont="1" applyBorder="1" applyAlignment="1">
      <alignment horizontal="center"/>
    </xf>
    <xf numFmtId="0" fontId="14" fillId="0" borderId="59" xfId="0" applyFont="1" applyBorder="1" applyAlignment="1">
      <alignment horizontal="center"/>
    </xf>
    <xf numFmtId="0" fontId="14" fillId="0" borderId="26" xfId="0" applyFont="1" applyBorder="1" applyAlignment="1">
      <alignment horizontal="center"/>
    </xf>
    <xf numFmtId="0" fontId="14" fillId="0" borderId="67" xfId="0" applyFont="1" applyBorder="1" applyAlignment="1">
      <alignment horizontal="center"/>
    </xf>
    <xf numFmtId="0" fontId="14" fillId="0" borderId="24" xfId="0" applyFont="1" applyBorder="1" applyAlignment="1">
      <alignment horizontal="center"/>
    </xf>
    <xf numFmtId="0" fontId="14" fillId="0" borderId="9" xfId="0" applyFont="1" applyBorder="1" applyAlignment="1">
      <alignment horizontal="center"/>
    </xf>
    <xf numFmtId="0" fontId="14" fillId="0" borderId="60" xfId="0" applyFont="1" applyBorder="1" applyAlignment="1">
      <alignment horizontal="center"/>
    </xf>
    <xf numFmtId="0" fontId="21" fillId="0" borderId="62" xfId="0" applyFont="1" applyBorder="1" applyAlignment="1">
      <alignment horizontal="left"/>
    </xf>
    <xf numFmtId="0" fontId="21" fillId="0" borderId="63" xfId="0" applyFont="1" applyBorder="1" applyAlignment="1">
      <alignment horizontal="left"/>
    </xf>
    <xf numFmtId="0" fontId="21" fillId="0" borderId="64" xfId="0" applyFont="1" applyBorder="1" applyAlignment="1">
      <alignment horizontal="left"/>
    </xf>
    <xf numFmtId="0" fontId="21" fillId="0" borderId="65" xfId="0" applyFont="1" applyBorder="1" applyAlignment="1">
      <alignment horizontal="left"/>
    </xf>
    <xf numFmtId="0" fontId="12" fillId="21" borderId="14" xfId="0" applyFont="1" applyFill="1" applyBorder="1" applyAlignment="1">
      <alignment horizontal="center" vertical="center"/>
    </xf>
    <xf numFmtId="0" fontId="12" fillId="21" borderId="17" xfId="0" applyFont="1" applyFill="1" applyBorder="1" applyAlignment="1">
      <alignment horizontal="center" vertical="center"/>
    </xf>
    <xf numFmtId="0" fontId="19" fillId="9" borderId="8" xfId="0" applyFont="1" applyFill="1" applyBorder="1" applyAlignment="1">
      <alignment horizontal="center" vertical="center"/>
    </xf>
    <xf numFmtId="0" fontId="19" fillId="9" borderId="5" xfId="0" applyFont="1" applyFill="1" applyBorder="1" applyAlignment="1">
      <alignment horizontal="center" vertical="center"/>
    </xf>
    <xf numFmtId="0" fontId="19" fillId="9" borderId="9" xfId="0" applyFont="1" applyFill="1" applyBorder="1" applyAlignment="1">
      <alignment horizontal="center" vertical="center"/>
    </xf>
    <xf numFmtId="0" fontId="20" fillId="7" borderId="7" xfId="0" applyFont="1" applyFill="1" applyBorder="1" applyAlignment="1">
      <alignment horizontal="center" vertical="center"/>
    </xf>
    <xf numFmtId="0" fontId="20" fillId="7" borderId="0" xfId="0" applyFont="1" applyFill="1" applyAlignment="1">
      <alignment horizontal="center" vertical="center"/>
    </xf>
    <xf numFmtId="0" fontId="20" fillId="7" borderId="6" xfId="0" applyFont="1" applyFill="1" applyBorder="1" applyAlignment="1">
      <alignment horizontal="center" vertical="center"/>
    </xf>
    <xf numFmtId="0" fontId="12" fillId="34" borderId="25" xfId="0" applyFont="1" applyFill="1" applyBorder="1" applyAlignment="1">
      <alignment horizontal="center"/>
    </xf>
    <xf numFmtId="0" fontId="12" fillId="3" borderId="25" xfId="0" applyFont="1" applyFill="1" applyBorder="1" applyAlignment="1">
      <alignment horizontal="center"/>
    </xf>
    <xf numFmtId="0" fontId="69" fillId="0" borderId="8" xfId="0" applyFont="1" applyBorder="1" applyAlignment="1">
      <alignment horizontal="left" vertical="center" wrapText="1"/>
    </xf>
    <xf numFmtId="0" fontId="69" fillId="0" borderId="5" xfId="0" applyFont="1" applyBorder="1" applyAlignment="1">
      <alignment horizontal="left" vertical="center" wrapText="1"/>
    </xf>
    <xf numFmtId="0" fontId="69" fillId="0" borderId="9" xfId="0" applyFont="1" applyBorder="1" applyAlignment="1">
      <alignment horizontal="left" vertical="center" wrapText="1"/>
    </xf>
    <xf numFmtId="0" fontId="69" fillId="0" borderId="7" xfId="0" applyFont="1" applyBorder="1" applyAlignment="1">
      <alignment horizontal="left" vertical="center" wrapText="1"/>
    </xf>
    <xf numFmtId="0" fontId="69" fillId="0" borderId="0" xfId="0" applyFont="1" applyAlignment="1">
      <alignment horizontal="left" vertical="center" wrapText="1"/>
    </xf>
    <xf numFmtId="0" fontId="69" fillId="0" borderId="6" xfId="0" applyFont="1" applyBorder="1" applyAlignment="1">
      <alignment horizontal="left" vertical="center" wrapText="1"/>
    </xf>
    <xf numFmtId="0" fontId="69" fillId="0" borderId="10" xfId="0" applyFont="1" applyBorder="1" applyAlignment="1">
      <alignment horizontal="left" vertical="center" wrapText="1"/>
    </xf>
    <xf numFmtId="0" fontId="69" fillId="0" borderId="1" xfId="0" applyFont="1" applyBorder="1" applyAlignment="1">
      <alignment horizontal="left" vertical="center" wrapText="1"/>
    </xf>
    <xf numFmtId="0" fontId="69" fillId="0" borderId="11" xfId="0" applyFont="1" applyBorder="1" applyAlignment="1">
      <alignment horizontal="left" vertical="center" wrapText="1"/>
    </xf>
    <xf numFmtId="0" fontId="12" fillId="0" borderId="18" xfId="0" applyFont="1" applyBorder="1" applyAlignment="1">
      <alignment horizontal="center"/>
    </xf>
    <xf numFmtId="0" fontId="12" fillId="0" borderId="27" xfId="0" applyFont="1" applyBorder="1" applyAlignment="1">
      <alignment horizontal="center"/>
    </xf>
    <xf numFmtId="0" fontId="11" fillId="0" borderId="15" xfId="0" applyFont="1" applyBorder="1" applyAlignment="1">
      <alignment horizontal="center"/>
    </xf>
    <xf numFmtId="0" fontId="11" fillId="0" borderId="4" xfId="0" applyFont="1" applyBorder="1" applyAlignment="1">
      <alignment horizontal="center"/>
    </xf>
    <xf numFmtId="0" fontId="11" fillId="0" borderId="16" xfId="0" applyFont="1" applyBorder="1" applyAlignment="1">
      <alignment horizontal="center"/>
    </xf>
    <xf numFmtId="0" fontId="12" fillId="34" borderId="60" xfId="0" applyFont="1" applyFill="1" applyBorder="1" applyAlignment="1">
      <alignment horizontal="center"/>
    </xf>
    <xf numFmtId="0" fontId="12" fillId="20" borderId="68" xfId="0" applyFont="1" applyFill="1" applyBorder="1" applyAlignment="1" applyProtection="1">
      <alignment horizontal="center" vertical="center"/>
      <protection hidden="1"/>
    </xf>
    <xf numFmtId="0" fontId="12" fillId="20" borderId="17" xfId="0" applyFont="1" applyFill="1" applyBorder="1" applyAlignment="1" applyProtection="1">
      <alignment horizontal="center" vertical="center"/>
      <protection hidden="1"/>
    </xf>
    <xf numFmtId="0" fontId="12" fillId="6" borderId="14" xfId="0" applyFont="1" applyFill="1" applyBorder="1" applyAlignment="1" applyProtection="1">
      <alignment horizontal="center" vertical="center"/>
      <protection hidden="1"/>
    </xf>
    <xf numFmtId="0" fontId="12" fillId="6" borderId="17" xfId="0" applyFont="1" applyFill="1" applyBorder="1" applyAlignment="1" applyProtection="1">
      <alignment horizontal="center" vertical="center"/>
      <protection hidden="1"/>
    </xf>
    <xf numFmtId="0" fontId="12" fillId="20" borderId="14" xfId="0" applyFont="1" applyFill="1" applyBorder="1" applyAlignment="1" applyProtection="1">
      <alignment horizontal="center" vertical="center"/>
      <protection hidden="1"/>
    </xf>
    <xf numFmtId="0" fontId="23" fillId="20" borderId="7" xfId="1" applyFont="1" applyFill="1" applyBorder="1" applyAlignment="1" applyProtection="1">
      <alignment horizontal="left" vertical="top" wrapText="1"/>
      <protection hidden="1"/>
    </xf>
    <xf numFmtId="0" fontId="23" fillId="20" borderId="0" xfId="1" applyFont="1" applyFill="1" applyAlignment="1" applyProtection="1">
      <alignment horizontal="left" vertical="top" wrapText="1"/>
      <protection hidden="1"/>
    </xf>
    <xf numFmtId="0" fontId="23" fillId="20" borderId="6" xfId="1" applyFont="1" applyFill="1" applyBorder="1" applyAlignment="1" applyProtection="1">
      <alignment horizontal="left" vertical="top" wrapText="1"/>
      <protection hidden="1"/>
    </xf>
    <xf numFmtId="0" fontId="23" fillId="20" borderId="10" xfId="1" applyFont="1" applyFill="1" applyBorder="1" applyAlignment="1" applyProtection="1">
      <alignment horizontal="left" vertical="top" wrapText="1"/>
      <protection hidden="1"/>
    </xf>
    <xf numFmtId="0" fontId="23" fillId="20" borderId="1" xfId="1" applyFont="1" applyFill="1" applyBorder="1" applyAlignment="1" applyProtection="1">
      <alignment horizontal="left" vertical="top" wrapText="1"/>
      <protection hidden="1"/>
    </xf>
    <xf numFmtId="0" fontId="23" fillId="20" borderId="11" xfId="1" applyFont="1" applyFill="1" applyBorder="1" applyAlignment="1" applyProtection="1">
      <alignment horizontal="left" vertical="top" wrapText="1"/>
      <protection hidden="1"/>
    </xf>
    <xf numFmtId="0" fontId="12" fillId="0" borderId="8" xfId="0" applyFont="1" applyBorder="1" applyAlignment="1">
      <alignment horizontal="center" vertical="center" wrapText="1"/>
    </xf>
    <xf numFmtId="0" fontId="12" fillId="0" borderId="5"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1" xfId="0" applyFont="1" applyBorder="1" applyAlignment="1">
      <alignment horizontal="center" vertical="center"/>
    </xf>
    <xf numFmtId="0" fontId="12" fillId="0" borderId="11" xfId="0" applyFont="1" applyBorder="1" applyAlignment="1">
      <alignment horizontal="center" vertical="center"/>
    </xf>
    <xf numFmtId="0" fontId="12" fillId="10" borderId="18" xfId="0" applyFont="1" applyFill="1" applyBorder="1" applyAlignment="1">
      <alignment horizontal="center" vertical="center"/>
    </xf>
    <xf numFmtId="0" fontId="12" fillId="10" borderId="19" xfId="0" applyFont="1" applyFill="1" applyBorder="1" applyAlignment="1">
      <alignment horizontal="center" vertical="center"/>
    </xf>
    <xf numFmtId="0" fontId="12" fillId="10" borderId="30" xfId="0" applyFont="1" applyFill="1" applyBorder="1" applyAlignment="1">
      <alignment horizontal="center" vertical="center"/>
    </xf>
    <xf numFmtId="0" fontId="12" fillId="3" borderId="18" xfId="0" applyFont="1" applyFill="1" applyBorder="1" applyAlignment="1">
      <alignment horizontal="center" vertical="center" wrapText="1"/>
    </xf>
    <xf numFmtId="0" fontId="12" fillId="3" borderId="19" xfId="0" applyFont="1" applyFill="1" applyBorder="1" applyAlignment="1">
      <alignment horizontal="center" vertical="center"/>
    </xf>
    <xf numFmtId="0" fontId="12" fillId="3" borderId="27" xfId="0" applyFont="1" applyFill="1" applyBorder="1" applyAlignment="1">
      <alignment horizontal="center" vertical="center"/>
    </xf>
    <xf numFmtId="0" fontId="23" fillId="20" borderId="8" xfId="1" applyFont="1" applyFill="1" applyBorder="1" applyAlignment="1" applyProtection="1">
      <alignment horizontal="left" vertical="top" wrapText="1"/>
      <protection hidden="1"/>
    </xf>
    <xf numFmtId="0" fontId="23" fillId="20" borderId="5" xfId="1" applyFont="1" applyFill="1" applyBorder="1" applyAlignment="1" applyProtection="1">
      <alignment horizontal="left" vertical="top" wrapText="1"/>
      <protection hidden="1"/>
    </xf>
    <xf numFmtId="0" fontId="23" fillId="20" borderId="9" xfId="1" applyFont="1" applyFill="1" applyBorder="1" applyAlignment="1" applyProtection="1">
      <alignment horizontal="left" vertical="top" wrapText="1"/>
      <protection hidden="1"/>
    </xf>
    <xf numFmtId="0" fontId="25" fillId="0" borderId="21"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3"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0" xfId="0" applyFont="1" applyAlignment="1">
      <alignment horizontal="center" vertical="center" wrapText="1"/>
    </xf>
    <xf numFmtId="0" fontId="25" fillId="0" borderId="3" xfId="0" applyFont="1" applyBorder="1" applyAlignment="1">
      <alignment horizontal="center" vertical="center" wrapText="1"/>
    </xf>
    <xf numFmtId="0" fontId="25" fillId="0" borderId="24" xfId="0" applyFont="1" applyBorder="1" applyAlignment="1">
      <alignment horizontal="center" vertical="center" wrapText="1"/>
    </xf>
    <xf numFmtId="0" fontId="25" fillId="0" borderId="25" xfId="0" applyFont="1" applyBorder="1" applyAlignment="1">
      <alignment horizontal="center" vertical="center" wrapText="1"/>
    </xf>
    <xf numFmtId="0" fontId="25" fillId="0" borderId="26" xfId="0" applyFont="1" applyBorder="1" applyAlignment="1">
      <alignment horizontal="center" vertical="center" wrapText="1"/>
    </xf>
    <xf numFmtId="0" fontId="11" fillId="0" borderId="15" xfId="0" applyFont="1" applyBorder="1" applyAlignment="1">
      <alignment horizontal="center" vertical="center"/>
    </xf>
    <xf numFmtId="0" fontId="11" fillId="0" borderId="4" xfId="0" applyFont="1" applyBorder="1" applyAlignment="1">
      <alignment horizontal="center" vertical="center"/>
    </xf>
    <xf numFmtId="0" fontId="11" fillId="0" borderId="16" xfId="0" applyFont="1" applyBorder="1" applyAlignment="1">
      <alignment horizontal="center" vertical="center"/>
    </xf>
    <xf numFmtId="0" fontId="12" fillId="0" borderId="58" xfId="0" applyFont="1" applyBorder="1" applyAlignment="1">
      <alignment horizontal="center"/>
    </xf>
    <xf numFmtId="0" fontId="12" fillId="0" borderId="61" xfId="0" applyFont="1" applyBorder="1" applyAlignment="1">
      <alignment horizontal="center"/>
    </xf>
    <xf numFmtId="0" fontId="12" fillId="3" borderId="21" xfId="0" applyFont="1" applyFill="1" applyBorder="1" applyAlignment="1">
      <alignment horizontal="center" vertical="center" wrapText="1"/>
    </xf>
    <xf numFmtId="0" fontId="12" fillId="3" borderId="22"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9" fillId="3" borderId="24" xfId="0" applyFont="1" applyFill="1" applyBorder="1" applyAlignment="1">
      <alignment horizontal="center" vertical="center" wrapText="1"/>
    </xf>
    <xf numFmtId="0" fontId="9" fillId="3" borderId="25" xfId="0" applyFont="1" applyFill="1" applyBorder="1" applyAlignment="1">
      <alignment horizontal="center" vertical="center" wrapText="1"/>
    </xf>
    <xf numFmtId="0" fontId="9" fillId="3" borderId="26" xfId="0" applyFont="1" applyFill="1" applyBorder="1" applyAlignment="1">
      <alignment horizontal="center" vertical="center" wrapText="1"/>
    </xf>
    <xf numFmtId="0" fontId="15" fillId="9" borderId="10" xfId="1" applyFont="1" applyFill="1" applyBorder="1" applyAlignment="1">
      <alignment horizontal="left" vertical="center"/>
    </xf>
    <xf numFmtId="0" fontId="15" fillId="9" borderId="1" xfId="1" applyFont="1" applyFill="1" applyBorder="1" applyAlignment="1">
      <alignment horizontal="left" vertical="center"/>
    </xf>
    <xf numFmtId="0" fontId="15" fillId="9" borderId="11" xfId="1" applyFont="1" applyFill="1" applyBorder="1" applyAlignment="1">
      <alignment horizontal="left" vertical="center"/>
    </xf>
    <xf numFmtId="0" fontId="12" fillId="0" borderId="21" xfId="0" applyFont="1" applyBorder="1" applyAlignment="1">
      <alignment horizontal="left" vertical="top"/>
    </xf>
    <xf numFmtId="0" fontId="12" fillId="0" borderId="22" xfId="0" applyFont="1" applyBorder="1" applyAlignment="1">
      <alignment horizontal="left" vertical="top"/>
    </xf>
    <xf numFmtId="0" fontId="12" fillId="0" borderId="23" xfId="0" applyFont="1" applyBorder="1" applyAlignment="1">
      <alignment horizontal="left" vertical="top"/>
    </xf>
    <xf numFmtId="0" fontId="12" fillId="0" borderId="2" xfId="0" applyFont="1" applyBorder="1" applyAlignment="1">
      <alignment horizontal="left" vertical="top"/>
    </xf>
    <xf numFmtId="0" fontId="12" fillId="0" borderId="0" xfId="0" applyFont="1" applyAlignment="1">
      <alignment horizontal="left" vertical="top"/>
    </xf>
    <xf numFmtId="0" fontId="12" fillId="0" borderId="3" xfId="0" applyFont="1" applyBorder="1" applyAlignment="1">
      <alignment horizontal="left" vertical="top"/>
    </xf>
    <xf numFmtId="0" fontId="12" fillId="0" borderId="24" xfId="0" applyFont="1" applyBorder="1" applyAlignment="1">
      <alignment horizontal="left" vertical="top"/>
    </xf>
    <xf numFmtId="0" fontId="12" fillId="0" borderId="25" xfId="0" applyFont="1" applyBorder="1" applyAlignment="1">
      <alignment horizontal="left" vertical="top"/>
    </xf>
    <xf numFmtId="0" fontId="12" fillId="0" borderId="26" xfId="0" applyFont="1" applyBorder="1" applyAlignment="1">
      <alignment horizontal="left" vertical="top"/>
    </xf>
    <xf numFmtId="0" fontId="5" fillId="0" borderId="5" xfId="1" applyFont="1" applyBorder="1" applyAlignment="1">
      <alignment horizontal="left" vertical="center" wrapText="1"/>
    </xf>
    <xf numFmtId="0" fontId="5" fillId="0" borderId="9" xfId="1" applyFont="1" applyBorder="1" applyAlignment="1">
      <alignment horizontal="left" vertical="center" wrapText="1"/>
    </xf>
    <xf numFmtId="0" fontId="12" fillId="0" borderId="20" xfId="0" applyFont="1" applyBorder="1" applyAlignment="1">
      <alignment horizontal="center" vertical="center"/>
    </xf>
    <xf numFmtId="0" fontId="12" fillId="0" borderId="29" xfId="0" applyFont="1" applyBorder="1" applyAlignment="1">
      <alignment horizontal="center" vertical="center"/>
    </xf>
    <xf numFmtId="0" fontId="12" fillId="0" borderId="28" xfId="0" applyFont="1" applyBorder="1" applyAlignment="1">
      <alignment horizontal="center" vertical="center"/>
    </xf>
    <xf numFmtId="0" fontId="23" fillId="9" borderId="41" xfId="1" applyFont="1" applyFill="1" applyBorder="1" applyAlignment="1">
      <alignment horizontal="left" vertical="center" wrapText="1"/>
    </xf>
    <xf numFmtId="0" fontId="23" fillId="9" borderId="42" xfId="1" applyFont="1" applyFill="1" applyBorder="1" applyAlignment="1">
      <alignment horizontal="left" vertical="center" wrapText="1"/>
    </xf>
    <xf numFmtId="0" fontId="23" fillId="0" borderId="38" xfId="1" applyFont="1" applyBorder="1" applyAlignment="1">
      <alignment horizontal="left" vertical="center" wrapText="1"/>
    </xf>
    <xf numFmtId="0" fontId="23" fillId="0" borderId="39" xfId="1" applyFont="1" applyBorder="1" applyAlignment="1">
      <alignment horizontal="left" vertical="center" wrapText="1"/>
    </xf>
    <xf numFmtId="0" fontId="23" fillId="0" borderId="1" xfId="1" applyFont="1" applyBorder="1" applyAlignment="1">
      <alignment horizontal="left" vertical="center" wrapText="1"/>
    </xf>
    <xf numFmtId="0" fontId="23" fillId="0" borderId="11" xfId="1" applyFont="1" applyBorder="1" applyAlignment="1">
      <alignment horizontal="left" vertical="center" wrapText="1"/>
    </xf>
    <xf numFmtId="0" fontId="12" fillId="11" borderId="21" xfId="0" applyFont="1" applyFill="1" applyBorder="1" applyAlignment="1">
      <alignment horizontal="center" vertical="center" wrapText="1"/>
    </xf>
    <xf numFmtId="0" fontId="12" fillId="11" borderId="22" xfId="0" applyFont="1" applyFill="1" applyBorder="1" applyAlignment="1">
      <alignment horizontal="center" vertical="center" wrapText="1"/>
    </xf>
    <xf numFmtId="0" fontId="12" fillId="11" borderId="23" xfId="0" applyFont="1" applyFill="1" applyBorder="1" applyAlignment="1">
      <alignment horizontal="center" vertical="center" wrapText="1"/>
    </xf>
    <xf numFmtId="0" fontId="9" fillId="11" borderId="24" xfId="0" applyFont="1" applyFill="1" applyBorder="1" applyAlignment="1">
      <alignment horizontal="center" vertical="center" wrapText="1"/>
    </xf>
    <xf numFmtId="0" fontId="9" fillId="11" borderId="25" xfId="0" applyFont="1" applyFill="1" applyBorder="1" applyAlignment="1">
      <alignment horizontal="center" vertical="center" wrapText="1"/>
    </xf>
    <xf numFmtId="0" fontId="9" fillId="11" borderId="26" xfId="0" applyFont="1" applyFill="1" applyBorder="1" applyAlignment="1">
      <alignment horizontal="center" vertical="center" wrapText="1"/>
    </xf>
    <xf numFmtId="0" fontId="23" fillId="0" borderId="35" xfId="1" applyFont="1" applyBorder="1" applyAlignment="1">
      <alignment horizontal="left" vertical="center" wrapText="1"/>
    </xf>
    <xf numFmtId="0" fontId="23" fillId="0" borderId="36" xfId="1" applyFont="1" applyBorder="1" applyAlignment="1">
      <alignment horizontal="left" vertical="center" wrapText="1"/>
    </xf>
    <xf numFmtId="0" fontId="12" fillId="2" borderId="43" xfId="0" applyFont="1" applyFill="1" applyBorder="1" applyAlignment="1">
      <alignment horizontal="center" vertical="center"/>
    </xf>
    <xf numFmtId="0" fontId="12" fillId="2" borderId="19" xfId="0" applyFont="1" applyFill="1" applyBorder="1" applyAlignment="1">
      <alignment horizontal="center" vertical="center"/>
    </xf>
    <xf numFmtId="0" fontId="12" fillId="2" borderId="27" xfId="0" applyFont="1" applyFill="1" applyBorder="1" applyAlignment="1">
      <alignment horizontal="center" vertical="center"/>
    </xf>
    <xf numFmtId="0" fontId="12" fillId="0" borderId="21" xfId="0" applyFont="1" applyBorder="1" applyAlignment="1">
      <alignment horizontal="left" vertical="top" wrapText="1"/>
    </xf>
    <xf numFmtId="0" fontId="12" fillId="0" borderId="22" xfId="0" applyFont="1" applyBorder="1" applyAlignment="1">
      <alignment horizontal="left" vertical="top" wrapText="1"/>
    </xf>
    <xf numFmtId="0" fontId="12" fillId="0" borderId="23" xfId="0" applyFont="1" applyBorder="1" applyAlignment="1">
      <alignment horizontal="left" vertical="top" wrapText="1"/>
    </xf>
    <xf numFmtId="0" fontId="12" fillId="0" borderId="2" xfId="0" applyFont="1" applyBorder="1" applyAlignment="1">
      <alignment horizontal="left" vertical="top" wrapText="1"/>
    </xf>
    <xf numFmtId="0" fontId="12" fillId="0" borderId="0" xfId="0" applyFont="1" applyAlignment="1">
      <alignment horizontal="left" vertical="top" wrapText="1"/>
    </xf>
    <xf numFmtId="0" fontId="12" fillId="0" borderId="3" xfId="0" applyFont="1" applyBorder="1" applyAlignment="1">
      <alignment horizontal="left" vertical="top" wrapText="1"/>
    </xf>
    <xf numFmtId="0" fontId="12" fillId="0" borderId="24" xfId="0" applyFont="1" applyBorder="1" applyAlignment="1">
      <alignment horizontal="left" vertical="top" wrapText="1"/>
    </xf>
    <xf numFmtId="0" fontId="12" fillId="0" borderId="25" xfId="0" applyFont="1" applyBorder="1" applyAlignment="1">
      <alignment horizontal="left" vertical="top" wrapText="1"/>
    </xf>
    <xf numFmtId="0" fontId="12" fillId="0" borderId="26" xfId="0" applyFont="1" applyBorder="1" applyAlignment="1">
      <alignment horizontal="left" vertical="top" wrapText="1"/>
    </xf>
    <xf numFmtId="0" fontId="12" fillId="11" borderId="18" xfId="0" applyFont="1" applyFill="1" applyBorder="1" applyAlignment="1">
      <alignment horizontal="center" vertical="center" wrapText="1"/>
    </xf>
    <xf numFmtId="0" fontId="12" fillId="11" borderId="19" xfId="0" applyFont="1" applyFill="1" applyBorder="1" applyAlignment="1">
      <alignment horizontal="center" vertical="center"/>
    </xf>
    <xf numFmtId="0" fontId="12" fillId="11" borderId="27" xfId="0" applyFont="1" applyFill="1" applyBorder="1" applyAlignment="1">
      <alignment horizontal="center" vertical="center"/>
    </xf>
    <xf numFmtId="0" fontId="12" fillId="0" borderId="44" xfId="0" applyFont="1" applyBorder="1" applyAlignment="1">
      <alignment horizontal="center" vertical="center"/>
    </xf>
    <xf numFmtId="0" fontId="12" fillId="0" borderId="46" xfId="0" applyFont="1" applyBorder="1" applyAlignment="1">
      <alignment horizontal="center" vertical="center"/>
    </xf>
    <xf numFmtId="0" fontId="12" fillId="0" borderId="45" xfId="0" applyFont="1" applyBorder="1" applyAlignment="1">
      <alignment horizontal="center" vertical="center"/>
    </xf>
    <xf numFmtId="0" fontId="12" fillId="0" borderId="24" xfId="0" applyFont="1" applyBorder="1" applyAlignment="1">
      <alignment horizontal="center" vertic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31" xfId="0" applyFont="1" applyBorder="1" applyAlignment="1">
      <alignment horizontal="left" vertical="top"/>
    </xf>
    <xf numFmtId="0" fontId="12" fillId="0" borderId="33" xfId="0" applyFont="1" applyBorder="1" applyAlignment="1">
      <alignment horizontal="left" vertical="top"/>
    </xf>
    <xf numFmtId="0" fontId="12" fillId="0" borderId="32" xfId="0" applyFont="1" applyBorder="1" applyAlignment="1">
      <alignment horizontal="left" vertical="top"/>
    </xf>
    <xf numFmtId="0" fontId="11" fillId="11" borderId="18" xfId="0" applyFont="1" applyFill="1" applyBorder="1" applyAlignment="1">
      <alignment horizontal="center" vertical="center"/>
    </xf>
    <xf numFmtId="0" fontId="11" fillId="11" borderId="19" xfId="0" applyFont="1" applyFill="1" applyBorder="1" applyAlignment="1">
      <alignment horizontal="center" vertical="center"/>
    </xf>
    <xf numFmtId="0" fontId="11" fillId="11" borderId="27" xfId="0" applyFont="1" applyFill="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12" fillId="0" borderId="12" xfId="0" applyFont="1" applyBorder="1" applyAlignment="1">
      <alignment horizontal="left" vertical="center" wrapText="1"/>
    </xf>
    <xf numFmtId="0" fontId="22" fillId="20" borderId="21" xfId="0" applyFont="1" applyFill="1" applyBorder="1" applyAlignment="1" applyProtection="1">
      <alignment horizontal="left" vertical="top" wrapText="1"/>
      <protection hidden="1"/>
    </xf>
    <xf numFmtId="0" fontId="22" fillId="20" borderId="22" xfId="0" applyFont="1" applyFill="1" applyBorder="1" applyAlignment="1" applyProtection="1">
      <alignment horizontal="left" vertical="top" wrapText="1"/>
      <protection hidden="1"/>
    </xf>
    <xf numFmtId="0" fontId="22" fillId="20" borderId="23" xfId="0" applyFont="1" applyFill="1" applyBorder="1" applyAlignment="1" applyProtection="1">
      <alignment horizontal="left" vertical="top" wrapText="1"/>
      <protection hidden="1"/>
    </xf>
    <xf numFmtId="0" fontId="22" fillId="20" borderId="2" xfId="0" applyFont="1" applyFill="1" applyBorder="1" applyAlignment="1" applyProtection="1">
      <alignment horizontal="left" vertical="top" wrapText="1"/>
      <protection hidden="1"/>
    </xf>
    <xf numFmtId="0" fontId="22" fillId="20" borderId="0" xfId="0" applyFont="1" applyFill="1" applyAlignment="1" applyProtection="1">
      <alignment horizontal="left" vertical="top" wrapText="1"/>
      <protection hidden="1"/>
    </xf>
    <xf numFmtId="0" fontId="22" fillId="20" borderId="3" xfId="0" applyFont="1" applyFill="1" applyBorder="1" applyAlignment="1" applyProtection="1">
      <alignment horizontal="left" vertical="top" wrapText="1"/>
      <protection hidden="1"/>
    </xf>
    <xf numFmtId="0" fontId="22" fillId="20" borderId="24" xfId="0" applyFont="1" applyFill="1" applyBorder="1" applyAlignment="1" applyProtection="1">
      <alignment horizontal="left" vertical="top" wrapText="1"/>
      <protection hidden="1"/>
    </xf>
    <xf numFmtId="0" fontId="22" fillId="20" borderId="25" xfId="0" applyFont="1" applyFill="1" applyBorder="1" applyAlignment="1" applyProtection="1">
      <alignment horizontal="left" vertical="top" wrapText="1"/>
      <protection hidden="1"/>
    </xf>
    <xf numFmtId="0" fontId="22" fillId="20" borderId="26" xfId="0" applyFont="1" applyFill="1" applyBorder="1" applyAlignment="1" applyProtection="1">
      <alignment horizontal="left" vertical="top" wrapText="1"/>
      <protection hidden="1"/>
    </xf>
    <xf numFmtId="0" fontId="12" fillId="0" borderId="21" xfId="0" quotePrefix="1" applyFont="1" applyBorder="1" applyAlignment="1">
      <alignment horizontal="left" vertical="top" wrapText="1"/>
    </xf>
    <xf numFmtId="0" fontId="12" fillId="0" borderId="22" xfId="0" quotePrefix="1" applyFont="1" applyBorder="1" applyAlignment="1">
      <alignment horizontal="left" vertical="top" wrapText="1"/>
    </xf>
    <xf numFmtId="0" fontId="12" fillId="0" borderId="23" xfId="0" quotePrefix="1" applyFont="1" applyBorder="1" applyAlignment="1">
      <alignment horizontal="left" vertical="top" wrapText="1"/>
    </xf>
    <xf numFmtId="0" fontId="12" fillId="0" borderId="2" xfId="0" quotePrefix="1" applyFont="1" applyBorder="1" applyAlignment="1">
      <alignment horizontal="left" vertical="top" wrapText="1"/>
    </xf>
    <xf numFmtId="0" fontId="12" fillId="0" borderId="0" xfId="0" quotePrefix="1" applyFont="1" applyAlignment="1">
      <alignment horizontal="left" vertical="top" wrapText="1"/>
    </xf>
    <xf numFmtId="0" fontId="12" fillId="0" borderId="3" xfId="0" quotePrefix="1" applyFont="1" applyBorder="1" applyAlignment="1">
      <alignment horizontal="left" vertical="top" wrapText="1"/>
    </xf>
    <xf numFmtId="0" fontId="12" fillId="0" borderId="24" xfId="0" quotePrefix="1" applyFont="1" applyBorder="1" applyAlignment="1">
      <alignment horizontal="left" vertical="top" wrapText="1"/>
    </xf>
    <xf numFmtId="0" fontId="12" fillId="0" borderId="25" xfId="0" quotePrefix="1" applyFont="1" applyBorder="1" applyAlignment="1">
      <alignment horizontal="left" vertical="top" wrapText="1"/>
    </xf>
    <xf numFmtId="0" fontId="12" fillId="0" borderId="26" xfId="0" quotePrefix="1" applyFont="1" applyBorder="1" applyAlignment="1">
      <alignment horizontal="left" vertical="top" wrapText="1"/>
    </xf>
    <xf numFmtId="0" fontId="36" fillId="16" borderId="21" xfId="0" applyFont="1" applyFill="1" applyBorder="1" applyAlignment="1" applyProtection="1">
      <alignment horizontal="center" vertical="center"/>
      <protection hidden="1"/>
    </xf>
    <xf numFmtId="0" fontId="36" fillId="16" borderId="22" xfId="0" applyFont="1" applyFill="1" applyBorder="1" applyAlignment="1" applyProtection="1">
      <alignment horizontal="center" vertical="center"/>
      <protection hidden="1"/>
    </xf>
    <xf numFmtId="0" fontId="36" fillId="16" borderId="23" xfId="0" applyFont="1" applyFill="1" applyBorder="1" applyAlignment="1" applyProtection="1">
      <alignment horizontal="center" vertical="center"/>
      <protection hidden="1"/>
    </xf>
    <xf numFmtId="0" fontId="36" fillId="16" borderId="24" xfId="0" applyFont="1" applyFill="1" applyBorder="1" applyAlignment="1" applyProtection="1">
      <alignment horizontal="center" vertical="center"/>
      <protection hidden="1"/>
    </xf>
    <xf numFmtId="0" fontId="36" fillId="16" borderId="25" xfId="0" applyFont="1" applyFill="1" applyBorder="1" applyAlignment="1" applyProtection="1">
      <alignment horizontal="center" vertical="center"/>
      <protection hidden="1"/>
    </xf>
    <xf numFmtId="0" fontId="36" fillId="16" borderId="26" xfId="0" applyFont="1" applyFill="1" applyBorder="1" applyAlignment="1" applyProtection="1">
      <alignment horizontal="center" vertical="center"/>
      <protection hidden="1"/>
    </xf>
    <xf numFmtId="2" fontId="11" fillId="0" borderId="21" xfId="0" applyNumberFormat="1" applyFont="1" applyBorder="1" applyAlignment="1">
      <alignment horizontal="center" vertical="center"/>
    </xf>
    <xf numFmtId="2" fontId="11" fillId="0" borderId="22" xfId="0" applyNumberFormat="1" applyFont="1" applyBorder="1" applyAlignment="1">
      <alignment horizontal="center" vertical="center"/>
    </xf>
    <xf numFmtId="2" fontId="11" fillId="0" borderId="23" xfId="0" applyNumberFormat="1" applyFont="1" applyBorder="1" applyAlignment="1">
      <alignment horizontal="center" vertical="center"/>
    </xf>
    <xf numFmtId="2" fontId="11" fillId="0" borderId="24" xfId="0" applyNumberFormat="1" applyFont="1" applyBorder="1" applyAlignment="1">
      <alignment horizontal="center" vertical="center"/>
    </xf>
    <xf numFmtId="2" fontId="11" fillId="0" borderId="25" xfId="0" applyNumberFormat="1" applyFont="1" applyBorder="1" applyAlignment="1">
      <alignment horizontal="center" vertical="center"/>
    </xf>
    <xf numFmtId="2" fontId="11" fillId="0" borderId="26" xfId="0" applyNumberFormat="1" applyFont="1" applyBorder="1" applyAlignment="1">
      <alignment horizontal="center" vertical="center"/>
    </xf>
    <xf numFmtId="0" fontId="16" fillId="0" borderId="21" xfId="1" applyFont="1" applyBorder="1" applyAlignment="1" applyProtection="1">
      <alignment horizontal="center" vertical="center"/>
      <protection locked="0"/>
    </xf>
    <xf numFmtId="0" fontId="16" fillId="0" borderId="22" xfId="1" applyFont="1" applyBorder="1" applyAlignment="1" applyProtection="1">
      <alignment horizontal="center" vertical="center"/>
      <protection locked="0"/>
    </xf>
    <xf numFmtId="0" fontId="16" fillId="0" borderId="23" xfId="1" applyFont="1" applyBorder="1" applyAlignment="1" applyProtection="1">
      <alignment horizontal="center" vertical="center"/>
      <protection locked="0"/>
    </xf>
    <xf numFmtId="0" fontId="16" fillId="0" borderId="2" xfId="1" applyFont="1" applyBorder="1" applyAlignment="1" applyProtection="1">
      <alignment horizontal="center" vertical="center"/>
      <protection locked="0"/>
    </xf>
    <xf numFmtId="0" fontId="16" fillId="0" borderId="0" xfId="1" applyFont="1" applyAlignment="1" applyProtection="1">
      <alignment horizontal="center" vertical="center"/>
      <protection locked="0"/>
    </xf>
    <xf numFmtId="0" fontId="16" fillId="0" borderId="3" xfId="1" applyFont="1" applyBorder="1" applyAlignment="1" applyProtection="1">
      <alignment horizontal="center" vertical="center"/>
      <protection locked="0"/>
    </xf>
    <xf numFmtId="0" fontId="16" fillId="0" borderId="24" xfId="1" applyFont="1" applyBorder="1" applyAlignment="1" applyProtection="1">
      <alignment horizontal="center" vertical="center"/>
      <protection locked="0"/>
    </xf>
    <xf numFmtId="0" fontId="16" fillId="0" borderId="25" xfId="1" applyFont="1" applyBorder="1" applyAlignment="1" applyProtection="1">
      <alignment horizontal="center" vertical="center"/>
      <protection locked="0"/>
    </xf>
    <xf numFmtId="0" fontId="16" fillId="0" borderId="26" xfId="1" applyFont="1" applyBorder="1" applyAlignment="1" applyProtection="1">
      <alignment horizontal="center" vertical="center"/>
      <protection locked="0"/>
    </xf>
    <xf numFmtId="0" fontId="11" fillId="0" borderId="2" xfId="0" applyFont="1" applyBorder="1" applyAlignment="1">
      <alignment horizontal="center" vertical="center"/>
    </xf>
    <xf numFmtId="0" fontId="11" fillId="0" borderId="0" xfId="0" applyFont="1" applyAlignment="1">
      <alignment horizontal="center" vertical="center"/>
    </xf>
    <xf numFmtId="0" fontId="11" fillId="0" borderId="3"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8" fillId="0" borderId="20"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28" xfId="0" applyFont="1" applyBorder="1" applyAlignment="1">
      <alignment horizontal="center" vertical="center" wrapText="1"/>
    </xf>
    <xf numFmtId="0" fontId="12" fillId="3" borderId="30" xfId="0" applyFont="1" applyFill="1" applyBorder="1" applyAlignment="1">
      <alignment horizontal="center" vertical="center"/>
    </xf>
    <xf numFmtId="0" fontId="12" fillId="11" borderId="43"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12" fillId="3" borderId="31" xfId="0" applyFont="1" applyFill="1" applyBorder="1" applyAlignment="1">
      <alignment horizontal="center" vertical="center" wrapText="1"/>
    </xf>
    <xf numFmtId="0" fontId="17" fillId="7" borderId="0" xfId="0" applyFont="1" applyFill="1" applyAlignment="1">
      <alignment horizontal="center"/>
    </xf>
    <xf numFmtId="0" fontId="12" fillId="9" borderId="0" xfId="0" applyFont="1" applyFill="1" applyAlignment="1">
      <alignment horizontal="center"/>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2" fillId="0" borderId="26" xfId="0" applyFont="1" applyBorder="1" applyAlignment="1">
      <alignment horizontal="center" vertical="center"/>
    </xf>
    <xf numFmtId="2" fontId="65" fillId="21" borderId="21" xfId="0" applyNumberFormat="1" applyFont="1" applyFill="1" applyBorder="1" applyAlignment="1">
      <alignment horizontal="center" vertical="center"/>
    </xf>
    <xf numFmtId="0" fontId="65" fillId="21" borderId="22" xfId="0" applyFont="1" applyFill="1" applyBorder="1" applyAlignment="1">
      <alignment horizontal="center" vertical="center"/>
    </xf>
    <xf numFmtId="0" fontId="65" fillId="21" borderId="23" xfId="0" applyFont="1" applyFill="1" applyBorder="1" applyAlignment="1">
      <alignment horizontal="center" vertical="center"/>
    </xf>
    <xf numFmtId="0" fontId="65" fillId="21" borderId="2" xfId="0" applyFont="1" applyFill="1" applyBorder="1" applyAlignment="1">
      <alignment horizontal="center" vertical="center"/>
    </xf>
    <xf numFmtId="0" fontId="65" fillId="21" borderId="0" xfId="0" applyFont="1" applyFill="1" applyAlignment="1">
      <alignment horizontal="center" vertical="center"/>
    </xf>
    <xf numFmtId="0" fontId="65" fillId="21" borderId="3" xfId="0" applyFont="1" applyFill="1" applyBorder="1" applyAlignment="1">
      <alignment horizontal="center" vertical="center"/>
    </xf>
    <xf numFmtId="0" fontId="65" fillId="21" borderId="24" xfId="0" applyFont="1" applyFill="1" applyBorder="1" applyAlignment="1">
      <alignment horizontal="center" vertical="center"/>
    </xf>
    <xf numFmtId="0" fontId="65" fillId="21" borderId="25" xfId="0" applyFont="1" applyFill="1" applyBorder="1" applyAlignment="1">
      <alignment horizontal="center" vertical="center"/>
    </xf>
    <xf numFmtId="0" fontId="65" fillId="21" borderId="26" xfId="0" applyFont="1" applyFill="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7" xfId="0" applyFont="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2" fillId="3" borderId="27" xfId="0" applyFont="1" applyFill="1" applyBorder="1" applyAlignment="1">
      <alignment horizontal="left" vertical="center"/>
    </xf>
    <xf numFmtId="0" fontId="12" fillId="0" borderId="18" xfId="0" applyFont="1" applyBorder="1" applyAlignment="1">
      <alignment horizontal="left" vertical="center"/>
    </xf>
    <xf numFmtId="0" fontId="12" fillId="0" borderId="27" xfId="0" applyFont="1" applyBorder="1" applyAlignment="1">
      <alignment horizontal="left" vertical="center"/>
    </xf>
    <xf numFmtId="0" fontId="11" fillId="3" borderId="18" xfId="0" applyFont="1" applyFill="1" applyBorder="1" applyAlignment="1">
      <alignment horizontal="center" vertical="center"/>
    </xf>
    <xf numFmtId="0" fontId="11" fillId="3" borderId="19" xfId="0" applyFont="1" applyFill="1" applyBorder="1" applyAlignment="1">
      <alignment horizontal="center" vertical="center"/>
    </xf>
    <xf numFmtId="0" fontId="11" fillId="3" borderId="27" xfId="0" applyFont="1" applyFill="1" applyBorder="1" applyAlignment="1">
      <alignment horizontal="center" vertical="center"/>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26" xfId="0" applyFont="1" applyBorder="1" applyAlignment="1">
      <alignment horizontal="center" vertical="center" wrapText="1"/>
    </xf>
    <xf numFmtId="0" fontId="12" fillId="3" borderId="18" xfId="0" applyFont="1" applyFill="1" applyBorder="1" applyAlignment="1">
      <alignment horizontal="left" vertical="center" wrapText="1"/>
    </xf>
    <xf numFmtId="0" fontId="12" fillId="3" borderId="19" xfId="0" applyFont="1" applyFill="1" applyBorder="1" applyAlignment="1">
      <alignment horizontal="left" vertical="center" wrapText="1"/>
    </xf>
    <xf numFmtId="0" fontId="12" fillId="3" borderId="27" xfId="0" applyFont="1" applyFill="1" applyBorder="1" applyAlignment="1">
      <alignment horizontal="left" vertical="center" wrapText="1"/>
    </xf>
    <xf numFmtId="0" fontId="12" fillId="3" borderId="18" xfId="0" applyFont="1" applyFill="1" applyBorder="1" applyAlignment="1">
      <alignment horizontal="center" vertical="center"/>
    </xf>
    <xf numFmtId="0" fontId="12" fillId="0" borderId="19" xfId="0" applyFont="1" applyBorder="1" applyAlignment="1">
      <alignment horizontal="left" vertical="center"/>
    </xf>
    <xf numFmtId="0" fontId="12" fillId="0" borderId="7" xfId="0" applyFont="1" applyBorder="1" applyAlignment="1">
      <alignment horizontal="left" vertical="center" wrapText="1"/>
    </xf>
    <xf numFmtId="0" fontId="12" fillId="0" borderId="6"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2" fillId="0" borderId="7" xfId="0" applyFont="1" applyBorder="1" applyAlignment="1">
      <alignment horizontal="center" vertical="center" wrapText="1"/>
    </xf>
    <xf numFmtId="0" fontId="12" fillId="0" borderId="0" xfId="0" applyFont="1" applyAlignment="1">
      <alignment horizontal="center" vertical="center"/>
    </xf>
    <xf numFmtId="0" fontId="12" fillId="0" borderId="6" xfId="0" applyFont="1" applyBorder="1" applyAlignment="1">
      <alignment horizontal="center" vertical="center"/>
    </xf>
    <xf numFmtId="0" fontId="24" fillId="0" borderId="21" xfId="0" applyFont="1" applyBorder="1" applyAlignment="1">
      <alignment horizontal="center" vertical="center" wrapText="1"/>
    </xf>
    <xf numFmtId="0" fontId="24" fillId="0" borderId="23"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24" xfId="0" applyFont="1" applyBorder="1" applyAlignment="1">
      <alignment horizontal="center" vertical="center" wrapText="1"/>
    </xf>
    <xf numFmtId="0" fontId="24" fillId="0" borderId="26" xfId="0" applyFont="1" applyBorder="1" applyAlignment="1">
      <alignment horizontal="center" vertical="center" wrapText="1"/>
    </xf>
    <xf numFmtId="14" fontId="12" fillId="3" borderId="25" xfId="0" applyNumberFormat="1" applyFont="1" applyFill="1" applyBorder="1" applyAlignment="1">
      <alignment horizontal="center"/>
    </xf>
    <xf numFmtId="0" fontId="11" fillId="13" borderId="18" xfId="0" applyFont="1" applyFill="1" applyBorder="1" applyAlignment="1">
      <alignment horizontal="center" vertical="center"/>
    </xf>
    <xf numFmtId="0" fontId="11" fillId="13" borderId="19" xfId="0" applyFont="1" applyFill="1" applyBorder="1" applyAlignment="1">
      <alignment horizontal="center" vertical="center"/>
    </xf>
    <xf numFmtId="0" fontId="11" fillId="13" borderId="27" xfId="0" applyFont="1" applyFill="1" applyBorder="1" applyAlignment="1">
      <alignment horizontal="center"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27" xfId="0" applyFont="1" applyBorder="1" applyAlignment="1">
      <alignment horizontal="center" vertical="center"/>
    </xf>
    <xf numFmtId="0" fontId="27" fillId="0" borderId="18" xfId="0" applyFont="1" applyBorder="1" applyAlignment="1">
      <alignment horizontal="center"/>
    </xf>
    <xf numFmtId="0" fontId="27" fillId="0" borderId="19" xfId="0" applyFont="1" applyBorder="1" applyAlignment="1">
      <alignment horizontal="center"/>
    </xf>
    <xf numFmtId="0" fontId="27" fillId="0" borderId="27" xfId="0" applyFont="1" applyBorder="1" applyAlignment="1">
      <alignment horizontal="center"/>
    </xf>
    <xf numFmtId="0" fontId="12" fillId="0" borderId="20" xfId="0" applyFont="1" applyBorder="1" applyAlignment="1">
      <alignment horizontal="left" vertical="top"/>
    </xf>
    <xf numFmtId="0" fontId="12" fillId="0" borderId="29" xfId="0" applyFont="1" applyBorder="1" applyAlignment="1">
      <alignment horizontal="left" vertical="top"/>
    </xf>
    <xf numFmtId="0" fontId="12" fillId="0" borderId="28" xfId="0" applyFont="1" applyBorder="1" applyAlignment="1">
      <alignment horizontal="left" vertical="top"/>
    </xf>
    <xf numFmtId="0" fontId="22" fillId="0" borderId="21" xfId="0" applyFont="1" applyBorder="1" applyAlignment="1">
      <alignment horizontal="left" vertical="top" wrapText="1"/>
    </xf>
    <xf numFmtId="0" fontId="22" fillId="0" borderId="22" xfId="0" applyFont="1" applyBorder="1" applyAlignment="1">
      <alignment horizontal="left" vertical="top" wrapText="1"/>
    </xf>
    <xf numFmtId="0" fontId="22" fillId="0" borderId="23" xfId="0" applyFont="1" applyBorder="1" applyAlignment="1">
      <alignment horizontal="left" vertical="top" wrapText="1"/>
    </xf>
    <xf numFmtId="0" fontId="22" fillId="0" borderId="2" xfId="0" applyFont="1" applyBorder="1" applyAlignment="1">
      <alignment horizontal="left" vertical="top" wrapText="1"/>
    </xf>
    <xf numFmtId="0" fontId="22" fillId="0" borderId="0" xfId="0" applyFont="1" applyAlignment="1">
      <alignment horizontal="left" vertical="top" wrapText="1"/>
    </xf>
    <xf numFmtId="0" fontId="22" fillId="0" borderId="3" xfId="0" applyFont="1" applyBorder="1" applyAlignment="1">
      <alignment horizontal="left" vertical="top" wrapText="1"/>
    </xf>
    <xf numFmtId="0" fontId="22" fillId="0" borderId="24" xfId="0" applyFont="1" applyBorder="1" applyAlignment="1">
      <alignment horizontal="left" vertical="top" wrapText="1"/>
    </xf>
    <xf numFmtId="0" fontId="22" fillId="0" borderId="25" xfId="0" applyFont="1" applyBorder="1" applyAlignment="1">
      <alignment horizontal="left" vertical="top" wrapText="1"/>
    </xf>
    <xf numFmtId="0" fontId="22" fillId="0" borderId="26" xfId="0" applyFont="1" applyBorder="1" applyAlignment="1">
      <alignment horizontal="left" vertical="top" wrapText="1"/>
    </xf>
    <xf numFmtId="0" fontId="12" fillId="0" borderId="20"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28" xfId="0" applyFont="1" applyBorder="1" applyAlignment="1">
      <alignment horizontal="center" vertical="center" wrapText="1"/>
    </xf>
    <xf numFmtId="0" fontId="12" fillId="11" borderId="21" xfId="0" applyFont="1" applyFill="1" applyBorder="1" applyAlignment="1">
      <alignment horizontal="left" vertical="top"/>
    </xf>
    <xf numFmtId="0" fontId="12" fillId="11" borderId="23" xfId="0" applyFont="1" applyFill="1" applyBorder="1" applyAlignment="1">
      <alignment horizontal="left" vertical="top"/>
    </xf>
    <xf numFmtId="0" fontId="12" fillId="11" borderId="2" xfId="0" applyFont="1" applyFill="1" applyBorder="1" applyAlignment="1">
      <alignment horizontal="left" vertical="top"/>
    </xf>
    <xf numFmtId="0" fontId="12" fillId="11" borderId="3" xfId="0" applyFont="1" applyFill="1" applyBorder="1" applyAlignment="1">
      <alignment horizontal="left" vertical="top"/>
    </xf>
    <xf numFmtId="0" fontId="12" fillId="11" borderId="24" xfId="0" applyFont="1" applyFill="1" applyBorder="1" applyAlignment="1">
      <alignment horizontal="left" vertical="top"/>
    </xf>
    <xf numFmtId="0" fontId="12" fillId="11" borderId="26" xfId="0" applyFont="1" applyFill="1" applyBorder="1" applyAlignment="1">
      <alignment horizontal="left" vertical="top"/>
    </xf>
    <xf numFmtId="0" fontId="12" fillId="11" borderId="20" xfId="0" applyFont="1" applyFill="1" applyBorder="1" applyAlignment="1">
      <alignment horizontal="center" vertical="center"/>
    </xf>
    <xf numFmtId="0" fontId="12" fillId="11" borderId="29" xfId="0" applyFont="1" applyFill="1" applyBorder="1" applyAlignment="1">
      <alignment horizontal="center" vertical="center"/>
    </xf>
    <xf numFmtId="0" fontId="12" fillId="11" borderId="28" xfId="0" applyFont="1" applyFill="1" applyBorder="1" applyAlignment="1">
      <alignment horizontal="center" vertical="center"/>
    </xf>
    <xf numFmtId="0" fontId="12" fillId="35" borderId="21" xfId="0" applyFont="1" applyFill="1" applyBorder="1" applyAlignment="1">
      <alignment horizontal="left" vertical="top"/>
    </xf>
    <xf numFmtId="0" fontId="12" fillId="35" borderId="23" xfId="0" applyFont="1" applyFill="1" applyBorder="1" applyAlignment="1">
      <alignment horizontal="left" vertical="top"/>
    </xf>
    <xf numFmtId="0" fontId="12" fillId="35" borderId="2" xfId="0" applyFont="1" applyFill="1" applyBorder="1" applyAlignment="1">
      <alignment horizontal="left" vertical="top"/>
    </xf>
    <xf numFmtId="0" fontId="12" fillId="35" borderId="3" xfId="0" applyFont="1" applyFill="1" applyBorder="1" applyAlignment="1">
      <alignment horizontal="left" vertical="top"/>
    </xf>
    <xf numFmtId="0" fontId="12" fillId="35" borderId="24" xfId="0" applyFont="1" applyFill="1" applyBorder="1" applyAlignment="1">
      <alignment horizontal="left" vertical="top"/>
    </xf>
    <xf numFmtId="0" fontId="12" fillId="35" borderId="26" xfId="0" applyFont="1" applyFill="1" applyBorder="1" applyAlignment="1">
      <alignment horizontal="left" vertical="top"/>
    </xf>
    <xf numFmtId="0" fontId="9" fillId="0" borderId="21" xfId="0" applyFont="1" applyBorder="1" applyAlignment="1">
      <alignment horizontal="left" vertical="center" wrapText="1"/>
    </xf>
    <xf numFmtId="0" fontId="9" fillId="0" borderId="22" xfId="0" applyFont="1" applyBorder="1" applyAlignment="1">
      <alignment horizontal="left" vertical="center" wrapText="1"/>
    </xf>
    <xf numFmtId="0" fontId="9" fillId="0" borderId="23" xfId="0" applyFont="1" applyBorder="1" applyAlignment="1">
      <alignment horizontal="left" vertical="center" wrapText="1"/>
    </xf>
    <xf numFmtId="0" fontId="9" fillId="0" borderId="2" xfId="0" applyFont="1" applyBorder="1" applyAlignment="1">
      <alignment horizontal="left" vertical="center" wrapText="1"/>
    </xf>
    <xf numFmtId="0" fontId="9" fillId="0" borderId="0" xfId="0" applyFont="1" applyAlignment="1">
      <alignment horizontal="left" vertical="center" wrapText="1"/>
    </xf>
    <xf numFmtId="0" fontId="9" fillId="0" borderId="3" xfId="0" applyFont="1" applyBorder="1" applyAlignment="1">
      <alignment horizontal="left" vertical="center" wrapText="1"/>
    </xf>
    <xf numFmtId="0" fontId="9" fillId="0" borderId="24" xfId="0" applyFont="1" applyBorder="1" applyAlignment="1">
      <alignment horizontal="left" vertical="center" wrapText="1"/>
    </xf>
    <xf numFmtId="0" fontId="9" fillId="0" borderId="25" xfId="0" applyFont="1" applyBorder="1" applyAlignment="1">
      <alignment horizontal="left" vertical="center" wrapText="1"/>
    </xf>
    <xf numFmtId="0" fontId="9" fillId="0" borderId="26" xfId="0" applyFont="1" applyBorder="1" applyAlignment="1">
      <alignment horizontal="left" vertical="center" wrapText="1"/>
    </xf>
    <xf numFmtId="9" fontId="12" fillId="0" borderId="20" xfId="0" applyNumberFormat="1" applyFont="1" applyBorder="1" applyAlignment="1">
      <alignment horizontal="center" vertical="center" wrapText="1"/>
    </xf>
    <xf numFmtId="9" fontId="12" fillId="0" borderId="29" xfId="0" applyNumberFormat="1" applyFont="1" applyBorder="1" applyAlignment="1">
      <alignment horizontal="center" vertical="center" wrapText="1"/>
    </xf>
    <xf numFmtId="9" fontId="12" fillId="0" borderId="28" xfId="0" applyNumberFormat="1" applyFont="1" applyBorder="1" applyAlignment="1">
      <alignment horizontal="center" vertical="center" wrapText="1"/>
    </xf>
    <xf numFmtId="0" fontId="76" fillId="0" borderId="21" xfId="0" applyFont="1" applyBorder="1" applyAlignment="1">
      <alignment horizontal="left" vertical="center" wrapText="1"/>
    </xf>
    <xf numFmtId="0" fontId="76" fillId="0" borderId="22" xfId="0" applyFont="1" applyBorder="1" applyAlignment="1">
      <alignment horizontal="left" vertical="center" wrapText="1"/>
    </xf>
    <xf numFmtId="0" fontId="76" fillId="0" borderId="23" xfId="0" applyFont="1" applyBorder="1" applyAlignment="1">
      <alignment horizontal="left" vertical="center" wrapText="1"/>
    </xf>
    <xf numFmtId="0" fontId="76" fillId="0" borderId="2" xfId="0" applyFont="1" applyBorder="1" applyAlignment="1">
      <alignment horizontal="left" vertical="center" wrapText="1"/>
    </xf>
    <xf numFmtId="0" fontId="76" fillId="0" borderId="0" xfId="0" applyFont="1" applyAlignment="1">
      <alignment horizontal="left" vertical="center" wrapText="1"/>
    </xf>
    <xf numFmtId="0" fontId="76" fillId="0" borderId="3" xfId="0" applyFont="1" applyBorder="1" applyAlignment="1">
      <alignment horizontal="left" vertical="center" wrapText="1"/>
    </xf>
    <xf numFmtId="0" fontId="76" fillId="0" borderId="24" xfId="0" applyFont="1" applyBorder="1" applyAlignment="1">
      <alignment horizontal="left" vertical="center" wrapText="1"/>
    </xf>
    <xf numFmtId="0" fontId="76" fillId="0" borderId="25" xfId="0" applyFont="1" applyBorder="1" applyAlignment="1">
      <alignment horizontal="left" vertical="center" wrapText="1"/>
    </xf>
    <xf numFmtId="0" fontId="76" fillId="0" borderId="26" xfId="0" applyFont="1" applyBorder="1" applyAlignment="1">
      <alignment horizontal="left" vertical="center" wrapText="1"/>
    </xf>
    <xf numFmtId="0" fontId="9" fillId="11" borderId="21" xfId="0" applyFont="1" applyFill="1" applyBorder="1" applyAlignment="1">
      <alignment horizontal="left" vertical="center" wrapText="1"/>
    </xf>
    <xf numFmtId="0" fontId="9" fillId="11" borderId="23" xfId="0" applyFont="1" applyFill="1" applyBorder="1" applyAlignment="1">
      <alignment horizontal="left" vertical="center" wrapText="1"/>
    </xf>
    <xf numFmtId="0" fontId="9" fillId="11" borderId="2" xfId="0" applyFont="1" applyFill="1" applyBorder="1" applyAlignment="1">
      <alignment horizontal="left" vertical="center" wrapText="1"/>
    </xf>
    <xf numFmtId="0" fontId="9" fillId="11" borderId="3" xfId="0" applyFont="1" applyFill="1" applyBorder="1" applyAlignment="1">
      <alignment horizontal="left" vertical="center" wrapText="1"/>
    </xf>
    <xf numFmtId="0" fontId="9" fillId="11" borderId="24" xfId="0" applyFont="1" applyFill="1" applyBorder="1" applyAlignment="1">
      <alignment horizontal="left" vertical="center" wrapText="1"/>
    </xf>
    <xf numFmtId="0" fontId="9" fillId="11" borderId="26" xfId="0" applyFont="1" applyFill="1" applyBorder="1" applyAlignment="1">
      <alignment horizontal="left" vertical="center" wrapText="1"/>
    </xf>
    <xf numFmtId="0" fontId="12" fillId="11" borderId="19" xfId="0" applyFont="1" applyFill="1" applyBorder="1" applyAlignment="1">
      <alignment horizontal="center" vertical="center" wrapText="1"/>
    </xf>
    <xf numFmtId="0" fontId="12" fillId="11" borderId="27" xfId="0" applyFont="1" applyFill="1" applyBorder="1" applyAlignment="1">
      <alignment horizontal="center" vertical="center" wrapText="1"/>
    </xf>
    <xf numFmtId="0" fontId="24" fillId="11" borderId="21" xfId="0" applyFont="1" applyFill="1" applyBorder="1" applyAlignment="1">
      <alignment horizontal="center" vertical="center" wrapText="1"/>
    </xf>
    <xf numFmtId="0" fontId="24" fillId="11" borderId="22" xfId="0" applyFont="1" applyFill="1" applyBorder="1" applyAlignment="1">
      <alignment horizontal="center" vertical="center" wrapText="1"/>
    </xf>
    <xf numFmtId="0" fontId="24" fillId="11" borderId="23"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4" fillId="11" borderId="0" xfId="0" applyFont="1" applyFill="1" applyAlignment="1">
      <alignment horizontal="center" vertical="center" wrapText="1"/>
    </xf>
    <xf numFmtId="0" fontId="24" fillId="11" borderId="3" xfId="0" applyFont="1" applyFill="1" applyBorder="1" applyAlignment="1">
      <alignment horizontal="center" vertical="center" wrapText="1"/>
    </xf>
    <xf numFmtId="0" fontId="24" fillId="11" borderId="24" xfId="0" applyFont="1" applyFill="1" applyBorder="1" applyAlignment="1">
      <alignment horizontal="center" vertical="center" wrapText="1"/>
    </xf>
    <xf numFmtId="0" fontId="24" fillId="11" borderId="25" xfId="0" applyFont="1" applyFill="1" applyBorder="1" applyAlignment="1">
      <alignment horizontal="center" vertical="center" wrapText="1"/>
    </xf>
    <xf numFmtId="0" fontId="24" fillId="11" borderId="26" xfId="0" applyFont="1" applyFill="1" applyBorder="1" applyAlignment="1">
      <alignment horizontal="center" vertical="center" wrapText="1"/>
    </xf>
    <xf numFmtId="0" fontId="24" fillId="11" borderId="20" xfId="0" applyFont="1" applyFill="1" applyBorder="1" applyAlignment="1">
      <alignment horizontal="center" vertical="center" wrapText="1"/>
    </xf>
    <xf numFmtId="0" fontId="24" fillId="11" borderId="29" xfId="0" applyFont="1" applyFill="1" applyBorder="1" applyAlignment="1">
      <alignment horizontal="center" vertical="center" wrapText="1"/>
    </xf>
    <xf numFmtId="0" fontId="24" fillId="11" borderId="28" xfId="0" applyFont="1" applyFill="1" applyBorder="1" applyAlignment="1">
      <alignment horizontal="center" vertical="center" wrapText="1"/>
    </xf>
    <xf numFmtId="0" fontId="12" fillId="35" borderId="18" xfId="0" applyFont="1" applyFill="1" applyBorder="1" applyAlignment="1">
      <alignment horizontal="center" vertical="center" wrapText="1"/>
    </xf>
    <xf numFmtId="0" fontId="12" fillId="35" borderId="19" xfId="0" applyFont="1" applyFill="1" applyBorder="1" applyAlignment="1">
      <alignment horizontal="center" vertical="center" wrapText="1"/>
    </xf>
    <xf numFmtId="0" fontId="12" fillId="35" borderId="27" xfId="0" applyFont="1" applyFill="1" applyBorder="1" applyAlignment="1">
      <alignment horizontal="center" vertical="center" wrapText="1"/>
    </xf>
    <xf numFmtId="0" fontId="22" fillId="35" borderId="21" xfId="0" applyFont="1" applyFill="1" applyBorder="1" applyAlignment="1">
      <alignment horizontal="left" vertical="center" wrapText="1"/>
    </xf>
    <xf numFmtId="0" fontId="22" fillId="35" borderId="23" xfId="0" applyFont="1" applyFill="1" applyBorder="1" applyAlignment="1">
      <alignment horizontal="left" vertical="center" wrapText="1"/>
    </xf>
    <xf numFmtId="0" fontId="22" fillId="35" borderId="24" xfId="0" applyFont="1" applyFill="1" applyBorder="1" applyAlignment="1">
      <alignment horizontal="left" vertical="center" wrapText="1"/>
    </xf>
    <xf numFmtId="0" fontId="22" fillId="35" borderId="26" xfId="0" applyFont="1" applyFill="1" applyBorder="1" applyAlignment="1">
      <alignment horizontal="left" vertical="center" wrapText="1"/>
    </xf>
    <xf numFmtId="0" fontId="22" fillId="11" borderId="21" xfId="0" applyFont="1" applyFill="1" applyBorder="1" applyAlignment="1">
      <alignment horizontal="left" vertical="center" wrapText="1"/>
    </xf>
    <xf numFmtId="0" fontId="22" fillId="11" borderId="23" xfId="0" applyFont="1" applyFill="1" applyBorder="1" applyAlignment="1">
      <alignment horizontal="left" vertical="center" wrapText="1"/>
    </xf>
    <xf numFmtId="0" fontId="22" fillId="11" borderId="24" xfId="0" applyFont="1" applyFill="1" applyBorder="1" applyAlignment="1">
      <alignment horizontal="left" vertical="center" wrapText="1"/>
    </xf>
    <xf numFmtId="0" fontId="22" fillId="11" borderId="26" xfId="0" applyFont="1" applyFill="1" applyBorder="1" applyAlignment="1">
      <alignment horizontal="left" vertical="center" wrapText="1"/>
    </xf>
    <xf numFmtId="0" fontId="9" fillId="11" borderId="21" xfId="0" applyFont="1" applyFill="1" applyBorder="1" applyAlignment="1">
      <alignment horizontal="center" vertical="center" wrapText="1"/>
    </xf>
    <xf numFmtId="0" fontId="9" fillId="11" borderId="22" xfId="0" applyFont="1" applyFill="1" applyBorder="1" applyAlignment="1">
      <alignment horizontal="center" vertical="center" wrapText="1"/>
    </xf>
    <xf numFmtId="0" fontId="9" fillId="11" borderId="23" xfId="0" applyFont="1" applyFill="1" applyBorder="1" applyAlignment="1">
      <alignment horizontal="center" vertical="center" wrapText="1"/>
    </xf>
    <xf numFmtId="0" fontId="9" fillId="11" borderId="2" xfId="0" applyFont="1" applyFill="1" applyBorder="1" applyAlignment="1">
      <alignment horizontal="center" vertical="center" wrapText="1"/>
    </xf>
    <xf numFmtId="0" fontId="9" fillId="11" borderId="0" xfId="0" applyFont="1" applyFill="1" applyAlignment="1">
      <alignment horizontal="center" vertical="center" wrapText="1"/>
    </xf>
    <xf numFmtId="0" fontId="9" fillId="11" borderId="3" xfId="0" applyFont="1" applyFill="1" applyBorder="1" applyAlignment="1">
      <alignment horizontal="center" vertical="center" wrapText="1"/>
    </xf>
    <xf numFmtId="9" fontId="79" fillId="11" borderId="21" xfId="5" applyNumberFormat="1" applyFont="1" applyFill="1" applyBorder="1" applyAlignment="1">
      <alignment horizontal="left" vertical="center" wrapText="1"/>
    </xf>
    <xf numFmtId="9" fontId="79" fillId="11" borderId="23" xfId="5" applyNumberFormat="1" applyFont="1" applyFill="1" applyBorder="1" applyAlignment="1">
      <alignment horizontal="left" vertical="center" wrapText="1"/>
    </xf>
    <xf numFmtId="9" fontId="79" fillId="11" borderId="2" xfId="5" applyNumberFormat="1" applyFont="1" applyFill="1" applyBorder="1" applyAlignment="1">
      <alignment horizontal="left" vertical="center" wrapText="1"/>
    </xf>
    <xf numFmtId="9" fontId="79" fillId="11" borderId="3" xfId="5" applyNumberFormat="1" applyFont="1" applyFill="1" applyBorder="1" applyAlignment="1">
      <alignment horizontal="left" vertical="center" wrapText="1"/>
    </xf>
    <xf numFmtId="9" fontId="79" fillId="11" borderId="24" xfId="5" applyNumberFormat="1" applyFont="1" applyFill="1" applyBorder="1" applyAlignment="1">
      <alignment horizontal="left" vertical="center" wrapText="1"/>
    </xf>
    <xf numFmtId="9" fontId="79" fillId="11" borderId="26" xfId="5" applyNumberFormat="1" applyFont="1" applyFill="1" applyBorder="1" applyAlignment="1">
      <alignment horizontal="left" vertical="center" wrapText="1"/>
    </xf>
    <xf numFmtId="0" fontId="12" fillId="0" borderId="21" xfId="0" applyFont="1" applyBorder="1" applyAlignment="1">
      <alignment horizontal="left" vertical="center" wrapText="1"/>
    </xf>
    <xf numFmtId="0" fontId="12" fillId="0" borderId="22" xfId="0" applyFont="1" applyBorder="1" applyAlignment="1">
      <alignment horizontal="left" vertical="center" wrapText="1"/>
    </xf>
    <xf numFmtId="0" fontId="12" fillId="0" borderId="23" xfId="0" applyFont="1" applyBorder="1" applyAlignment="1">
      <alignment horizontal="left" vertical="center" wrapText="1"/>
    </xf>
    <xf numFmtId="0" fontId="12" fillId="0" borderId="2" xfId="0" applyFont="1" applyBorder="1" applyAlignment="1">
      <alignment horizontal="left" vertical="center" wrapText="1"/>
    </xf>
    <xf numFmtId="0" fontId="12" fillId="0" borderId="0" xfId="0" applyFont="1" applyAlignment="1">
      <alignment horizontal="left" vertical="center" wrapText="1"/>
    </xf>
    <xf numFmtId="0" fontId="12" fillId="0" borderId="3" xfId="0" applyFont="1" applyBorder="1" applyAlignment="1">
      <alignment horizontal="left" vertical="center" wrapText="1"/>
    </xf>
    <xf numFmtId="0" fontId="12" fillId="0" borderId="24" xfId="0" applyFont="1" applyBorder="1" applyAlignment="1">
      <alignment horizontal="left" vertical="center" wrapText="1"/>
    </xf>
    <xf numFmtId="0" fontId="12" fillId="0" borderId="25" xfId="0" applyFont="1" applyBorder="1" applyAlignment="1">
      <alignment horizontal="left" vertical="center" wrapText="1"/>
    </xf>
    <xf numFmtId="0" fontId="12" fillId="0" borderId="26" xfId="0" applyFont="1" applyBorder="1" applyAlignment="1">
      <alignment horizontal="left" vertical="center" wrapText="1"/>
    </xf>
    <xf numFmtId="0" fontId="9" fillId="3" borderId="21" xfId="0" applyFont="1" applyFill="1" applyBorder="1" applyAlignment="1">
      <alignment horizontal="left" vertical="top" wrapText="1"/>
    </xf>
    <xf numFmtId="0" fontId="9" fillId="3" borderId="23" xfId="0" applyFont="1" applyFill="1" applyBorder="1" applyAlignment="1">
      <alignment horizontal="left" vertical="top" wrapText="1"/>
    </xf>
    <xf numFmtId="0" fontId="9" fillId="3" borderId="2" xfId="0" applyFont="1" applyFill="1" applyBorder="1" applyAlignment="1">
      <alignment horizontal="left" vertical="top" wrapText="1"/>
    </xf>
    <xf numFmtId="0" fontId="9" fillId="3" borderId="3" xfId="0" applyFont="1" applyFill="1" applyBorder="1" applyAlignment="1">
      <alignment horizontal="left" vertical="top" wrapText="1"/>
    </xf>
    <xf numFmtId="0" fontId="9" fillId="3" borderId="24" xfId="0" applyFont="1" applyFill="1" applyBorder="1" applyAlignment="1">
      <alignment horizontal="left" vertical="top" wrapText="1"/>
    </xf>
    <xf numFmtId="0" fontId="9" fillId="3" borderId="26" xfId="0" applyFont="1" applyFill="1" applyBorder="1" applyAlignment="1">
      <alignment horizontal="left" vertical="top" wrapText="1"/>
    </xf>
    <xf numFmtId="0" fontId="12" fillId="3" borderId="21" xfId="0" applyFont="1" applyFill="1" applyBorder="1" applyAlignment="1">
      <alignment horizontal="left" vertical="top"/>
    </xf>
    <xf numFmtId="0" fontId="12" fillId="3" borderId="23" xfId="0" applyFont="1" applyFill="1" applyBorder="1" applyAlignment="1">
      <alignment horizontal="left" vertical="top"/>
    </xf>
    <xf numFmtId="0" fontId="12" fillId="3" borderId="2" xfId="0" applyFont="1" applyFill="1" applyBorder="1" applyAlignment="1">
      <alignment horizontal="left" vertical="top"/>
    </xf>
    <xf numFmtId="0" fontId="12" fillId="3" borderId="3" xfId="0" applyFont="1" applyFill="1" applyBorder="1" applyAlignment="1">
      <alignment horizontal="left" vertical="top"/>
    </xf>
    <xf numFmtId="0" fontId="12" fillId="3" borderId="24" xfId="0" applyFont="1" applyFill="1" applyBorder="1" applyAlignment="1">
      <alignment horizontal="left" vertical="top"/>
    </xf>
    <xf numFmtId="0" fontId="12" fillId="3" borderId="26" xfId="0" applyFont="1" applyFill="1" applyBorder="1" applyAlignment="1">
      <alignment horizontal="left" vertical="top"/>
    </xf>
    <xf numFmtId="0" fontId="12" fillId="3" borderId="21" xfId="0" quotePrefix="1" applyFont="1" applyFill="1" applyBorder="1" applyAlignment="1">
      <alignment horizontal="left" vertical="center" wrapText="1"/>
    </xf>
    <xf numFmtId="0" fontId="12" fillId="3" borderId="23" xfId="0" quotePrefix="1" applyFont="1" applyFill="1" applyBorder="1" applyAlignment="1">
      <alignment horizontal="left" vertical="center" wrapText="1"/>
    </xf>
    <xf numFmtId="0" fontId="12" fillId="3" borderId="2" xfId="0" quotePrefix="1" applyFont="1" applyFill="1" applyBorder="1" applyAlignment="1">
      <alignment horizontal="left" vertical="center" wrapText="1"/>
    </xf>
    <xf numFmtId="0" fontId="12" fillId="3" borderId="3" xfId="0" quotePrefix="1" applyFont="1" applyFill="1" applyBorder="1" applyAlignment="1">
      <alignment horizontal="left" vertical="center" wrapText="1"/>
    </xf>
    <xf numFmtId="0" fontId="12" fillId="3" borderId="24" xfId="0" quotePrefix="1" applyFont="1" applyFill="1" applyBorder="1" applyAlignment="1">
      <alignment horizontal="left" vertical="center" wrapText="1"/>
    </xf>
    <xf numFmtId="0" fontId="12" fillId="3" borderId="26" xfId="0" quotePrefix="1" applyFont="1" applyFill="1" applyBorder="1" applyAlignment="1">
      <alignment horizontal="left" vertical="center" wrapText="1"/>
    </xf>
    <xf numFmtId="0" fontId="12" fillId="3" borderId="23"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2" fillId="3" borderId="24" xfId="0" applyFont="1" applyFill="1" applyBorder="1" applyAlignment="1">
      <alignment horizontal="left" vertical="center" wrapText="1"/>
    </xf>
    <xf numFmtId="0" fontId="12" fillId="3" borderId="26" xfId="0" applyFont="1" applyFill="1" applyBorder="1" applyAlignment="1">
      <alignment horizontal="left" vertical="center" wrapText="1"/>
    </xf>
    <xf numFmtId="0" fontId="12" fillId="3" borderId="20" xfId="0" applyFont="1" applyFill="1" applyBorder="1" applyAlignment="1">
      <alignment horizontal="center" vertical="center"/>
    </xf>
    <xf numFmtId="0" fontId="12" fillId="3" borderId="29" xfId="0" applyFont="1" applyFill="1" applyBorder="1" applyAlignment="1">
      <alignment horizontal="center" vertical="center"/>
    </xf>
    <xf numFmtId="0" fontId="12" fillId="3" borderId="28" xfId="0" applyFont="1" applyFill="1" applyBorder="1" applyAlignment="1">
      <alignment horizontal="center" vertical="center"/>
    </xf>
    <xf numFmtId="0" fontId="12" fillId="11" borderId="21" xfId="0" applyFont="1" applyFill="1" applyBorder="1" applyAlignment="1">
      <alignment horizontal="left" vertical="center" wrapText="1"/>
    </xf>
    <xf numFmtId="0" fontId="12" fillId="11" borderId="23" xfId="0" applyFont="1" applyFill="1" applyBorder="1" applyAlignment="1">
      <alignment horizontal="left" vertical="center" wrapText="1"/>
    </xf>
    <xf numFmtId="0" fontId="12" fillId="11" borderId="2" xfId="0" applyFont="1" applyFill="1" applyBorder="1" applyAlignment="1">
      <alignment horizontal="left" vertical="center" wrapText="1"/>
    </xf>
    <xf numFmtId="0" fontId="12" fillId="11" borderId="3" xfId="0" applyFont="1" applyFill="1" applyBorder="1" applyAlignment="1">
      <alignment horizontal="left" vertical="center" wrapText="1"/>
    </xf>
    <xf numFmtId="0" fontId="12" fillId="11" borderId="24" xfId="0" applyFont="1" applyFill="1" applyBorder="1" applyAlignment="1">
      <alignment horizontal="left" vertical="center" wrapText="1"/>
    </xf>
    <xf numFmtId="0" fontId="12" fillId="11" borderId="26" xfId="0" applyFont="1" applyFill="1" applyBorder="1" applyAlignment="1">
      <alignment horizontal="left" vertical="center" wrapText="1"/>
    </xf>
    <xf numFmtId="0" fontId="22" fillId="0" borderId="21" xfId="0" applyFont="1" applyBorder="1" applyAlignment="1">
      <alignment horizontal="left" vertical="center" wrapText="1"/>
    </xf>
    <xf numFmtId="0" fontId="22" fillId="0" borderId="22" xfId="0" applyFont="1" applyBorder="1" applyAlignment="1">
      <alignment horizontal="left" vertical="center" wrapText="1"/>
    </xf>
    <xf numFmtId="0" fontId="22" fillId="0" borderId="23" xfId="0" applyFont="1" applyBorder="1" applyAlignment="1">
      <alignment horizontal="left" vertical="center" wrapText="1"/>
    </xf>
    <xf numFmtId="0" fontId="22" fillId="0" borderId="2" xfId="0" applyFont="1" applyBorder="1" applyAlignment="1">
      <alignment horizontal="left" vertical="center" wrapText="1"/>
    </xf>
    <xf numFmtId="0" fontId="22" fillId="0" borderId="0" xfId="0" applyFont="1" applyAlignment="1">
      <alignment horizontal="left" vertical="center" wrapText="1"/>
    </xf>
    <xf numFmtId="0" fontId="22" fillId="0" borderId="3" xfId="0" applyFont="1" applyBorder="1" applyAlignment="1">
      <alignment horizontal="left" vertical="center" wrapText="1"/>
    </xf>
    <xf numFmtId="0" fontId="22" fillId="0" borderId="24" xfId="0" applyFont="1" applyBorder="1" applyAlignment="1">
      <alignment horizontal="left" vertical="center" wrapText="1"/>
    </xf>
    <xf numFmtId="0" fontId="22" fillId="0" borderId="25" xfId="0" applyFont="1" applyBorder="1" applyAlignment="1">
      <alignment horizontal="left" vertical="center" wrapText="1"/>
    </xf>
    <xf numFmtId="0" fontId="22" fillId="0" borderId="26" xfId="0" applyFont="1" applyBorder="1" applyAlignment="1">
      <alignment horizontal="left" vertical="center" wrapText="1"/>
    </xf>
    <xf numFmtId="0" fontId="12" fillId="35" borderId="20" xfId="0" applyFont="1" applyFill="1" applyBorder="1" applyAlignment="1">
      <alignment horizontal="center" vertical="center"/>
    </xf>
    <xf numFmtId="0" fontId="12" fillId="35" borderId="29" xfId="0" applyFont="1" applyFill="1" applyBorder="1" applyAlignment="1">
      <alignment horizontal="center" vertical="center"/>
    </xf>
    <xf numFmtId="0" fontId="12" fillId="35" borderId="28" xfId="0" applyFont="1" applyFill="1" applyBorder="1" applyAlignment="1">
      <alignment horizontal="center" vertical="center"/>
    </xf>
    <xf numFmtId="0" fontId="12" fillId="10" borderId="18" xfId="0" applyFont="1" applyFill="1" applyBorder="1" applyAlignment="1">
      <alignment horizontal="center" vertical="center" wrapText="1"/>
    </xf>
    <xf numFmtId="0" fontId="12" fillId="10" borderId="19" xfId="0" applyFont="1" applyFill="1" applyBorder="1" applyAlignment="1">
      <alignment horizontal="center" vertical="center" wrapText="1"/>
    </xf>
    <xf numFmtId="0" fontId="12" fillId="10" borderId="27" xfId="0" applyFont="1" applyFill="1" applyBorder="1" applyAlignment="1">
      <alignment horizontal="center" vertical="center" wrapText="1"/>
    </xf>
    <xf numFmtId="0" fontId="24" fillId="35" borderId="21" xfId="0" applyFont="1" applyFill="1" applyBorder="1" applyAlignment="1">
      <alignment horizontal="center" vertical="center" wrapText="1"/>
    </xf>
    <xf numFmtId="0" fontId="24" fillId="35" borderId="22" xfId="0" applyFont="1" applyFill="1" applyBorder="1" applyAlignment="1">
      <alignment horizontal="center" vertical="center" wrapText="1"/>
    </xf>
    <xf numFmtId="0" fontId="24" fillId="35" borderId="23" xfId="0" applyFont="1" applyFill="1" applyBorder="1" applyAlignment="1">
      <alignment horizontal="center" vertical="center" wrapText="1"/>
    </xf>
    <xf numFmtId="0" fontId="24" fillId="35" borderId="2" xfId="0" applyFont="1" applyFill="1" applyBorder="1" applyAlignment="1">
      <alignment horizontal="center" vertical="center" wrapText="1"/>
    </xf>
    <xf numFmtId="0" fontId="24" fillId="35" borderId="0" xfId="0" applyFont="1" applyFill="1" applyAlignment="1">
      <alignment horizontal="center" vertical="center" wrapText="1"/>
    </xf>
    <xf numFmtId="0" fontId="24" fillId="35" borderId="3" xfId="0" applyFont="1" applyFill="1" applyBorder="1" applyAlignment="1">
      <alignment horizontal="center" vertical="center" wrapText="1"/>
    </xf>
    <xf numFmtId="0" fontId="24" fillId="35" borderId="24" xfId="0" applyFont="1" applyFill="1" applyBorder="1" applyAlignment="1">
      <alignment horizontal="center" vertical="center" wrapText="1"/>
    </xf>
    <xf numFmtId="0" fontId="24" fillId="35" borderId="25" xfId="0" applyFont="1" applyFill="1" applyBorder="1" applyAlignment="1">
      <alignment horizontal="center" vertical="center" wrapText="1"/>
    </xf>
    <xf numFmtId="0" fontId="24" fillId="35" borderId="26" xfId="0" applyFont="1" applyFill="1" applyBorder="1" applyAlignment="1">
      <alignment horizontal="center" vertical="center" wrapText="1"/>
    </xf>
    <xf numFmtId="0" fontId="24" fillId="35" borderId="20" xfId="0" applyFont="1" applyFill="1" applyBorder="1" applyAlignment="1">
      <alignment horizontal="center" vertical="center" wrapText="1"/>
    </xf>
    <xf numFmtId="0" fontId="24" fillId="35" borderId="29" xfId="0" applyFont="1" applyFill="1" applyBorder="1" applyAlignment="1">
      <alignment horizontal="center" vertical="center" wrapText="1"/>
    </xf>
    <xf numFmtId="0" fontId="24" fillId="35" borderId="28" xfId="0" applyFont="1" applyFill="1" applyBorder="1" applyAlignment="1">
      <alignment horizontal="center" vertical="center" wrapText="1"/>
    </xf>
    <xf numFmtId="0" fontId="9" fillId="35" borderId="21" xfId="0" applyFont="1" applyFill="1" applyBorder="1" applyAlignment="1">
      <alignment horizontal="center" vertical="center" wrapText="1"/>
    </xf>
    <xf numFmtId="0" fontId="9" fillId="35" borderId="22" xfId="0" applyFont="1" applyFill="1" applyBorder="1" applyAlignment="1">
      <alignment horizontal="center" vertical="center" wrapText="1"/>
    </xf>
    <xf numFmtId="0" fontId="9" fillId="35" borderId="23" xfId="0" applyFont="1" applyFill="1" applyBorder="1" applyAlignment="1">
      <alignment horizontal="center" vertical="center" wrapText="1"/>
    </xf>
    <xf numFmtId="0" fontId="9" fillId="35" borderId="2" xfId="0" applyFont="1" applyFill="1" applyBorder="1" applyAlignment="1">
      <alignment horizontal="center" vertical="center" wrapText="1"/>
    </xf>
    <xf numFmtId="0" fontId="9" fillId="35" borderId="0" xfId="0" applyFont="1" applyFill="1" applyAlignment="1">
      <alignment horizontal="center" vertical="center" wrapText="1"/>
    </xf>
    <xf numFmtId="0" fontId="9" fillId="35" borderId="3" xfId="0" applyFont="1" applyFill="1" applyBorder="1" applyAlignment="1">
      <alignment horizontal="center" vertical="center" wrapText="1"/>
    </xf>
    <xf numFmtId="0" fontId="9" fillId="35" borderId="24" xfId="0" applyFont="1" applyFill="1" applyBorder="1" applyAlignment="1">
      <alignment horizontal="center" vertical="center" wrapText="1"/>
    </xf>
    <xf numFmtId="0" fontId="9" fillId="35" borderId="25" xfId="0" applyFont="1" applyFill="1" applyBorder="1" applyAlignment="1">
      <alignment horizontal="center" vertical="center" wrapText="1"/>
    </xf>
    <xf numFmtId="0" fontId="9" fillId="35" borderId="26" xfId="0" applyFont="1" applyFill="1" applyBorder="1" applyAlignment="1">
      <alignment horizontal="center" vertical="center" wrapText="1"/>
    </xf>
    <xf numFmtId="0" fontId="21" fillId="0" borderId="21" xfId="0" applyFont="1" applyBorder="1" applyAlignment="1">
      <alignment horizontal="left" vertical="center" wrapText="1"/>
    </xf>
    <xf numFmtId="0" fontId="21" fillId="0" borderId="22" xfId="0" applyFont="1" applyBorder="1" applyAlignment="1">
      <alignment horizontal="left" vertical="center" wrapText="1"/>
    </xf>
    <xf numFmtId="0" fontId="21" fillId="0" borderId="23" xfId="0" applyFont="1" applyBorder="1" applyAlignment="1">
      <alignment horizontal="left" vertical="center" wrapText="1"/>
    </xf>
    <xf numFmtId="0" fontId="21" fillId="0" borderId="2" xfId="0" applyFont="1" applyBorder="1" applyAlignment="1">
      <alignment horizontal="left" vertical="center" wrapText="1"/>
    </xf>
    <xf numFmtId="0" fontId="21" fillId="0" borderId="0" xfId="0" applyFont="1" applyAlignment="1">
      <alignment horizontal="left" vertical="center" wrapText="1"/>
    </xf>
    <xf numFmtId="0" fontId="21" fillId="0" borderId="3" xfId="0" applyFont="1" applyBorder="1" applyAlignment="1">
      <alignment horizontal="left" vertical="center" wrapText="1"/>
    </xf>
    <xf numFmtId="0" fontId="21" fillId="0" borderId="24" xfId="0" applyFont="1" applyBorder="1" applyAlignment="1">
      <alignment horizontal="left" vertical="center" wrapText="1"/>
    </xf>
    <xf numFmtId="0" fontId="21" fillId="0" borderId="25" xfId="0" applyFont="1" applyBorder="1" applyAlignment="1">
      <alignment horizontal="left" vertical="center" wrapText="1"/>
    </xf>
    <xf numFmtId="0" fontId="21" fillId="0" borderId="26" xfId="0" applyFont="1" applyBorder="1" applyAlignment="1">
      <alignment horizontal="left" vertical="center" wrapText="1"/>
    </xf>
    <xf numFmtId="0" fontId="9" fillId="35" borderId="21" xfId="0" applyFont="1" applyFill="1" applyBorder="1" applyAlignment="1">
      <alignment horizontal="left" vertical="center" wrapText="1"/>
    </xf>
    <xf numFmtId="0" fontId="9" fillId="35" borderId="23" xfId="0" applyFont="1" applyFill="1" applyBorder="1" applyAlignment="1">
      <alignment horizontal="left" vertical="center" wrapText="1"/>
    </xf>
    <xf numFmtId="0" fontId="9" fillId="35" borderId="2" xfId="0" applyFont="1" applyFill="1" applyBorder="1" applyAlignment="1">
      <alignment horizontal="left" vertical="center" wrapText="1"/>
    </xf>
    <xf numFmtId="0" fontId="9" fillId="35" borderId="3" xfId="0" applyFont="1" applyFill="1" applyBorder="1" applyAlignment="1">
      <alignment horizontal="left" vertical="center" wrapText="1"/>
    </xf>
    <xf numFmtId="0" fontId="9" fillId="35" borderId="24" xfId="0" applyFont="1" applyFill="1" applyBorder="1" applyAlignment="1">
      <alignment horizontal="left" vertical="center" wrapText="1"/>
    </xf>
    <xf numFmtId="0" fontId="9" fillId="35" borderId="26" xfId="0" applyFont="1" applyFill="1" applyBorder="1" applyAlignment="1">
      <alignment horizontal="left" vertical="center" wrapText="1"/>
    </xf>
    <xf numFmtId="0" fontId="9" fillId="35" borderId="20" xfId="0" applyFont="1" applyFill="1" applyBorder="1" applyAlignment="1">
      <alignment horizontal="center" vertical="center"/>
    </xf>
    <xf numFmtId="0" fontId="9" fillId="35" borderId="29" xfId="0" applyFont="1" applyFill="1" applyBorder="1" applyAlignment="1">
      <alignment horizontal="center" vertical="center"/>
    </xf>
    <xf numFmtId="0" fontId="9" fillId="35" borderId="28" xfId="0" applyFont="1" applyFill="1" applyBorder="1" applyAlignment="1">
      <alignment horizontal="center" vertical="center"/>
    </xf>
    <xf numFmtId="0" fontId="9" fillId="35" borderId="23" xfId="0" applyFont="1" applyFill="1" applyBorder="1" applyAlignment="1">
      <alignment horizontal="left" vertical="center"/>
    </xf>
    <xf numFmtId="0" fontId="9" fillId="35" borderId="2" xfId="0" applyFont="1" applyFill="1" applyBorder="1" applyAlignment="1">
      <alignment horizontal="left" vertical="center"/>
    </xf>
    <xf numFmtId="0" fontId="9" fillId="35" borderId="3" xfId="0" applyFont="1" applyFill="1" applyBorder="1" applyAlignment="1">
      <alignment horizontal="left" vertical="center"/>
    </xf>
    <xf numFmtId="0" fontId="9" fillId="35" borderId="24" xfId="0" applyFont="1" applyFill="1" applyBorder="1" applyAlignment="1">
      <alignment horizontal="left" vertical="center"/>
    </xf>
    <xf numFmtId="0" fontId="9" fillId="35" borderId="26" xfId="0" applyFont="1" applyFill="1" applyBorder="1" applyAlignment="1">
      <alignment horizontal="left" vertical="center"/>
    </xf>
    <xf numFmtId="0" fontId="9" fillId="35" borderId="21" xfId="0" applyFont="1" applyFill="1" applyBorder="1" applyAlignment="1">
      <alignment vertical="center" wrapText="1"/>
    </xf>
    <xf numFmtId="0" fontId="9" fillId="35" borderId="23" xfId="0" applyFont="1" applyFill="1" applyBorder="1" applyAlignment="1">
      <alignment vertical="center" wrapText="1"/>
    </xf>
    <xf numFmtId="0" fontId="9" fillId="35" borderId="2" xfId="0" applyFont="1" applyFill="1" applyBorder="1" applyAlignment="1">
      <alignment vertical="center" wrapText="1"/>
    </xf>
    <xf numFmtId="0" fontId="9" fillId="35" borderId="3" xfId="0" applyFont="1" applyFill="1" applyBorder="1" applyAlignment="1">
      <alignment vertical="center" wrapText="1"/>
    </xf>
    <xf numFmtId="0" fontId="9" fillId="35" borderId="24" xfId="0" applyFont="1" applyFill="1" applyBorder="1" applyAlignment="1">
      <alignment vertical="center" wrapText="1"/>
    </xf>
    <xf numFmtId="0" fontId="9" fillId="35" borderId="26" xfId="0" applyFont="1" applyFill="1" applyBorder="1" applyAlignment="1">
      <alignment vertical="center" wrapText="1"/>
    </xf>
    <xf numFmtId="0" fontId="21" fillId="0" borderId="21" xfId="0" applyFont="1" applyBorder="1" applyAlignment="1">
      <alignment horizontal="left" vertical="top" wrapText="1"/>
    </xf>
    <xf numFmtId="0" fontId="21" fillId="0" borderId="22" xfId="0" applyFont="1" applyBorder="1" applyAlignment="1">
      <alignment horizontal="left" vertical="top" wrapText="1"/>
    </xf>
    <xf numFmtId="0" fontId="21" fillId="0" borderId="23" xfId="0" applyFont="1" applyBorder="1" applyAlignment="1">
      <alignment horizontal="left" vertical="top" wrapText="1"/>
    </xf>
    <xf numFmtId="0" fontId="21" fillId="0" borderId="2" xfId="0" applyFont="1" applyBorder="1" applyAlignment="1">
      <alignment horizontal="left" vertical="top" wrapText="1"/>
    </xf>
    <xf numFmtId="0" fontId="21" fillId="0" borderId="0" xfId="0" applyFont="1" applyAlignment="1">
      <alignment horizontal="left" vertical="top" wrapText="1"/>
    </xf>
    <xf numFmtId="0" fontId="21" fillId="0" borderId="3" xfId="0" applyFont="1" applyBorder="1" applyAlignment="1">
      <alignment horizontal="left" vertical="top" wrapText="1"/>
    </xf>
    <xf numFmtId="0" fontId="21" fillId="0" borderId="24" xfId="0" applyFont="1" applyBorder="1" applyAlignment="1">
      <alignment horizontal="left" vertical="top" wrapText="1"/>
    </xf>
    <xf numFmtId="0" fontId="21" fillId="0" borderId="25" xfId="0" applyFont="1" applyBorder="1" applyAlignment="1">
      <alignment horizontal="left" vertical="top" wrapText="1"/>
    </xf>
    <xf numFmtId="0" fontId="21" fillId="0" borderId="26" xfId="0" applyFont="1" applyBorder="1" applyAlignment="1">
      <alignment horizontal="left" vertical="top" wrapText="1"/>
    </xf>
    <xf numFmtId="0" fontId="24" fillId="0" borderId="20"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28" xfId="0" applyFont="1" applyBorder="1" applyAlignment="1">
      <alignment horizontal="center" vertical="center" wrapText="1"/>
    </xf>
    <xf numFmtId="0" fontId="43" fillId="0" borderId="18" xfId="0" applyFont="1" applyBorder="1" applyAlignment="1">
      <alignment horizontal="center" vertical="center"/>
    </xf>
    <xf numFmtId="0" fontId="43" fillId="0" borderId="19" xfId="0" applyFont="1" applyBorder="1" applyAlignment="1">
      <alignment horizontal="center" vertical="center"/>
    </xf>
    <xf numFmtId="0" fontId="43" fillId="0" borderId="27" xfId="0" applyFont="1" applyBorder="1" applyAlignment="1">
      <alignment horizontal="center" vertical="center"/>
    </xf>
    <xf numFmtId="0" fontId="69" fillId="0" borderId="21" xfId="0" applyFont="1" applyBorder="1" applyAlignment="1">
      <alignment horizontal="left" vertical="center" wrapText="1"/>
    </xf>
    <xf numFmtId="0" fontId="69" fillId="0" borderId="22" xfId="0" applyFont="1" applyBorder="1" applyAlignment="1">
      <alignment horizontal="left" vertical="center" wrapText="1"/>
    </xf>
    <xf numFmtId="0" fontId="69" fillId="0" borderId="23" xfId="0" applyFont="1" applyBorder="1" applyAlignment="1">
      <alignment horizontal="left" vertical="center" wrapText="1"/>
    </xf>
    <xf numFmtId="0" fontId="69" fillId="0" borderId="2" xfId="0" applyFont="1" applyBorder="1" applyAlignment="1">
      <alignment horizontal="left" vertical="center" wrapText="1"/>
    </xf>
    <xf numFmtId="0" fontId="69" fillId="0" borderId="3" xfId="0" applyFont="1" applyBorder="1" applyAlignment="1">
      <alignment horizontal="left" vertical="center" wrapText="1"/>
    </xf>
    <xf numFmtId="0" fontId="69" fillId="0" borderId="24" xfId="0" applyFont="1" applyBorder="1" applyAlignment="1">
      <alignment horizontal="left" vertical="center" wrapText="1"/>
    </xf>
    <xf numFmtId="0" fontId="69" fillId="0" borderId="25" xfId="0" applyFont="1" applyBorder="1" applyAlignment="1">
      <alignment horizontal="left" vertical="center" wrapText="1"/>
    </xf>
    <xf numFmtId="0" fontId="69" fillId="0" borderId="26" xfId="0" applyFont="1" applyBorder="1" applyAlignment="1">
      <alignment horizontal="left" vertical="center" wrapText="1"/>
    </xf>
    <xf numFmtId="0" fontId="24" fillId="16" borderId="21" xfId="0" applyFont="1" applyFill="1" applyBorder="1" applyAlignment="1">
      <alignment horizontal="left" vertical="center" wrapText="1"/>
    </xf>
    <xf numFmtId="0" fontId="24" fillId="16" borderId="22" xfId="0" applyFont="1" applyFill="1" applyBorder="1" applyAlignment="1">
      <alignment horizontal="left" vertical="center" wrapText="1"/>
    </xf>
    <xf numFmtId="0" fontId="24" fillId="16" borderId="23" xfId="0" applyFont="1" applyFill="1" applyBorder="1" applyAlignment="1">
      <alignment horizontal="left" vertical="center" wrapText="1"/>
    </xf>
    <xf numFmtId="0" fontId="24" fillId="16" borderId="2" xfId="0" applyFont="1" applyFill="1" applyBorder="1" applyAlignment="1">
      <alignment horizontal="left" vertical="center" wrapText="1"/>
    </xf>
    <xf numFmtId="0" fontId="24" fillId="16" borderId="0" xfId="0" applyFont="1" applyFill="1" applyAlignment="1">
      <alignment horizontal="left" vertical="center" wrapText="1"/>
    </xf>
    <xf numFmtId="0" fontId="24" fillId="16" borderId="3" xfId="0" applyFont="1" applyFill="1" applyBorder="1" applyAlignment="1">
      <alignment horizontal="left" vertical="center" wrapText="1"/>
    </xf>
    <xf numFmtId="0" fontId="24" fillId="16" borderId="24" xfId="0" applyFont="1" applyFill="1" applyBorder="1" applyAlignment="1">
      <alignment horizontal="left" vertical="center" wrapText="1"/>
    </xf>
    <xf numFmtId="0" fontId="24" fillId="16" borderId="25" xfId="0" applyFont="1" applyFill="1" applyBorder="1" applyAlignment="1">
      <alignment horizontal="left" vertical="center" wrapText="1"/>
    </xf>
    <xf numFmtId="0" fontId="24" fillId="16" borderId="26" xfId="0" applyFont="1" applyFill="1" applyBorder="1" applyAlignment="1">
      <alignment horizontal="left" vertical="center" wrapText="1"/>
    </xf>
    <xf numFmtId="0" fontId="12" fillId="3" borderId="19" xfId="0" applyFont="1" applyFill="1" applyBorder="1" applyAlignment="1">
      <alignment horizontal="center" vertical="center" wrapText="1"/>
    </xf>
    <xf numFmtId="0" fontId="12" fillId="3" borderId="27" xfId="0" applyFont="1" applyFill="1" applyBorder="1" applyAlignment="1">
      <alignment horizontal="center" vertical="center" wrapText="1"/>
    </xf>
    <xf numFmtId="0" fontId="22" fillId="3" borderId="21" xfId="0" applyFont="1" applyFill="1" applyBorder="1" applyAlignment="1">
      <alignment horizontal="left" vertical="center" wrapText="1"/>
    </xf>
    <xf numFmtId="0" fontId="22" fillId="3" borderId="23" xfId="0" applyFont="1" applyFill="1" applyBorder="1" applyAlignment="1">
      <alignment horizontal="left" vertical="center" wrapText="1"/>
    </xf>
    <xf numFmtId="0" fontId="22" fillId="3" borderId="24" xfId="0" applyFont="1" applyFill="1" applyBorder="1" applyAlignment="1">
      <alignment horizontal="left" vertical="center" wrapText="1"/>
    </xf>
    <xf numFmtId="0" fontId="22" fillId="3" borderId="26" xfId="0" applyFont="1" applyFill="1" applyBorder="1" applyAlignment="1">
      <alignment horizontal="left" vertical="center" wrapText="1"/>
    </xf>
    <xf numFmtId="0" fontId="12" fillId="6" borderId="14" xfId="0" applyFont="1" applyFill="1" applyBorder="1" applyAlignment="1">
      <alignment horizontal="center" vertical="center"/>
    </xf>
    <xf numFmtId="0" fontId="12" fillId="6" borderId="17" xfId="0" applyFont="1" applyFill="1" applyBorder="1" applyAlignment="1">
      <alignment horizontal="center" vertical="center"/>
    </xf>
    <xf numFmtId="0" fontId="23" fillId="0" borderId="8" xfId="1" applyFont="1" applyBorder="1" applyAlignment="1">
      <alignment horizontal="left" vertical="center" wrapText="1"/>
    </xf>
    <xf numFmtId="0" fontId="23" fillId="0" borderId="5" xfId="1" applyFont="1" applyBorder="1" applyAlignment="1">
      <alignment horizontal="left" vertical="center" wrapText="1"/>
    </xf>
    <xf numFmtId="0" fontId="23" fillId="0" borderId="9" xfId="1" applyFont="1" applyBorder="1" applyAlignment="1">
      <alignment horizontal="left" vertical="center" wrapText="1"/>
    </xf>
    <xf numFmtId="0" fontId="23" fillId="0" borderId="10" xfId="1" applyFont="1" applyBorder="1" applyAlignment="1">
      <alignment horizontal="left" vertical="center" wrapText="1"/>
    </xf>
    <xf numFmtId="0" fontId="11" fillId="33" borderId="25" xfId="0" applyFont="1" applyFill="1" applyBorder="1" applyAlignment="1">
      <alignment horizontal="center"/>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4" xfId="0" applyFont="1" applyBorder="1" applyAlignment="1">
      <alignment horizontal="center" vertical="center"/>
    </xf>
    <xf numFmtId="0" fontId="12" fillId="0" borderId="17" xfId="0" applyFont="1" applyBorder="1" applyAlignment="1">
      <alignment horizontal="center" vertical="center"/>
    </xf>
    <xf numFmtId="0" fontId="12" fillId="11" borderId="21" xfId="0" quotePrefix="1" applyFont="1" applyFill="1" applyBorder="1" applyAlignment="1">
      <alignment horizontal="left" vertical="center" wrapText="1"/>
    </xf>
    <xf numFmtId="0" fontId="12" fillId="11" borderId="23" xfId="0" quotePrefix="1" applyFont="1" applyFill="1" applyBorder="1" applyAlignment="1">
      <alignment horizontal="left" vertical="center" wrapText="1"/>
    </xf>
    <xf numFmtId="0" fontId="12" fillId="11" borderId="2" xfId="0" quotePrefix="1" applyFont="1" applyFill="1" applyBorder="1" applyAlignment="1">
      <alignment horizontal="left" vertical="center" wrapText="1"/>
    </xf>
    <xf numFmtId="0" fontId="12" fillId="11" borderId="3" xfId="0" quotePrefix="1" applyFont="1" applyFill="1" applyBorder="1" applyAlignment="1">
      <alignment horizontal="left" vertical="center" wrapText="1"/>
    </xf>
    <xf numFmtId="0" fontId="12" fillId="11" borderId="24" xfId="0" quotePrefix="1" applyFont="1" applyFill="1" applyBorder="1" applyAlignment="1">
      <alignment horizontal="left" vertical="center" wrapText="1"/>
    </xf>
    <xf numFmtId="0" fontId="12" fillId="11" borderId="26" xfId="0" quotePrefix="1" applyFont="1" applyFill="1" applyBorder="1" applyAlignment="1">
      <alignment horizontal="left" vertical="center" wrapText="1"/>
    </xf>
    <xf numFmtId="0" fontId="21" fillId="11" borderId="21" xfId="0" applyFont="1" applyFill="1" applyBorder="1" applyAlignment="1">
      <alignment horizontal="left" vertical="top" wrapText="1"/>
    </xf>
    <xf numFmtId="0" fontId="21" fillId="11" borderId="23" xfId="0" applyFont="1" applyFill="1" applyBorder="1" applyAlignment="1">
      <alignment horizontal="left" vertical="top" wrapText="1"/>
    </xf>
    <xf numFmtId="0" fontId="21" fillId="11" borderId="2" xfId="0" applyFont="1" applyFill="1" applyBorder="1" applyAlignment="1">
      <alignment horizontal="left" vertical="top" wrapText="1"/>
    </xf>
    <xf numFmtId="0" fontId="21" fillId="11" borderId="3" xfId="0" applyFont="1" applyFill="1" applyBorder="1" applyAlignment="1">
      <alignment horizontal="left" vertical="top" wrapText="1"/>
    </xf>
    <xf numFmtId="0" fontId="21" fillId="11" borderId="24" xfId="0" applyFont="1" applyFill="1" applyBorder="1" applyAlignment="1">
      <alignment horizontal="left" vertical="top" wrapText="1"/>
    </xf>
    <xf numFmtId="0" fontId="21" fillId="11" borderId="26" xfId="0" applyFont="1" applyFill="1" applyBorder="1" applyAlignment="1">
      <alignment horizontal="left" vertical="top" wrapText="1"/>
    </xf>
    <xf numFmtId="17" fontId="12" fillId="0" borderId="20" xfId="0" applyNumberFormat="1" applyFont="1" applyBorder="1" applyAlignment="1">
      <alignment horizontal="center" vertical="center" wrapText="1"/>
    </xf>
    <xf numFmtId="0" fontId="12" fillId="0" borderId="18" xfId="0" applyFont="1" applyBorder="1" applyAlignment="1">
      <alignment horizontal="center" vertical="center"/>
    </xf>
    <xf numFmtId="0" fontId="12" fillId="0" borderId="27" xfId="0" applyFont="1" applyBorder="1" applyAlignment="1">
      <alignment horizontal="center" vertical="center"/>
    </xf>
    <xf numFmtId="0" fontId="77" fillId="0" borderId="21" xfId="0" applyFont="1" applyBorder="1" applyAlignment="1">
      <alignment horizontal="left" vertical="center" wrapText="1"/>
    </xf>
    <xf numFmtId="17" fontId="12" fillId="0" borderId="29" xfId="0" applyNumberFormat="1" applyFont="1" applyBorder="1" applyAlignment="1">
      <alignment horizontal="center" vertical="center" wrapText="1"/>
    </xf>
    <xf numFmtId="17" fontId="12" fillId="0" borderId="28" xfId="0" applyNumberFormat="1" applyFont="1" applyBorder="1" applyAlignment="1">
      <alignment horizontal="center" vertical="center" wrapText="1"/>
    </xf>
    <xf numFmtId="0" fontId="15" fillId="6" borderId="8" xfId="1" applyFont="1" applyFill="1" applyBorder="1" applyAlignment="1">
      <alignment horizontal="center" vertical="center"/>
    </xf>
    <xf numFmtId="0" fontId="15" fillId="6" borderId="5" xfId="1" applyFont="1" applyFill="1" applyBorder="1" applyAlignment="1">
      <alignment horizontal="center" vertical="center"/>
    </xf>
    <xf numFmtId="0" fontId="15" fillId="6" borderId="9" xfId="1" applyFont="1" applyFill="1" applyBorder="1" applyAlignment="1">
      <alignment horizontal="center" vertical="center"/>
    </xf>
    <xf numFmtId="20" fontId="15" fillId="0" borderId="8" xfId="1" quotePrefix="1" applyNumberFormat="1" applyFont="1" applyBorder="1" applyAlignment="1">
      <alignment horizontal="center" vertical="center" wrapText="1"/>
    </xf>
    <xf numFmtId="20" fontId="15" fillId="0" borderId="47" xfId="1" quotePrefix="1" applyNumberFormat="1" applyFont="1" applyBorder="1" applyAlignment="1">
      <alignment horizontal="center" vertical="center" wrapText="1"/>
    </xf>
    <xf numFmtId="20" fontId="15" fillId="0" borderId="50" xfId="1" quotePrefix="1" applyNumberFormat="1" applyFont="1" applyBorder="1" applyAlignment="1">
      <alignment horizontal="center" vertical="center" wrapText="1"/>
    </xf>
    <xf numFmtId="20" fontId="15" fillId="6" borderId="50" xfId="1" quotePrefix="1" applyNumberFormat="1" applyFont="1" applyFill="1" applyBorder="1" applyAlignment="1">
      <alignment horizontal="center" vertical="center" wrapText="1"/>
    </xf>
    <xf numFmtId="20" fontId="15" fillId="6" borderId="47" xfId="1" quotePrefix="1" applyNumberFormat="1" applyFont="1" applyFill="1" applyBorder="1" applyAlignment="1">
      <alignment horizontal="center" vertical="center" wrapText="1"/>
    </xf>
    <xf numFmtId="0" fontId="15" fillId="0" borderId="50" xfId="1" quotePrefix="1" applyFont="1" applyBorder="1" applyAlignment="1">
      <alignment horizontal="center" vertical="center" wrapText="1"/>
    </xf>
    <xf numFmtId="0" fontId="15" fillId="0" borderId="10" xfId="1" quotePrefix="1" applyFont="1" applyBorder="1" applyAlignment="1">
      <alignment horizontal="center" vertical="center" wrapText="1"/>
    </xf>
    <xf numFmtId="0" fontId="24" fillId="0" borderId="22" xfId="0" applyFont="1" applyBorder="1" applyAlignment="1">
      <alignment horizontal="center" vertical="center" wrapText="1"/>
    </xf>
    <xf numFmtId="0" fontId="24" fillId="0" borderId="2" xfId="0" applyFont="1" applyBorder="1" applyAlignment="1">
      <alignment horizontal="left" vertical="center" wrapText="1"/>
    </xf>
    <xf numFmtId="0" fontId="24" fillId="0" borderId="0" xfId="0" applyFont="1" applyAlignment="1">
      <alignment horizontal="left" vertical="center" wrapText="1"/>
    </xf>
    <xf numFmtId="0" fontId="24" fillId="0" borderId="3" xfId="0" applyFont="1" applyBorder="1" applyAlignment="1">
      <alignment horizontal="left" vertical="center" wrapText="1"/>
    </xf>
    <xf numFmtId="0" fontId="11" fillId="11" borderId="18" xfId="0" applyFont="1" applyFill="1" applyBorder="1" applyAlignment="1">
      <alignment horizontal="center" vertical="center" wrapText="1"/>
    </xf>
    <xf numFmtId="0" fontId="11" fillId="11" borderId="19" xfId="0" applyFont="1" applyFill="1" applyBorder="1" applyAlignment="1">
      <alignment horizontal="center" vertical="center" wrapText="1"/>
    </xf>
    <xf numFmtId="0" fontId="11" fillId="11" borderId="27" xfId="0" applyFont="1" applyFill="1" applyBorder="1" applyAlignment="1">
      <alignment horizontal="center" vertical="center" wrapText="1"/>
    </xf>
    <xf numFmtId="0" fontId="73" fillId="11" borderId="18" xfId="0" applyFont="1" applyFill="1" applyBorder="1" applyAlignment="1">
      <alignment horizontal="left" vertical="center" wrapText="1"/>
    </xf>
    <xf numFmtId="0" fontId="73" fillId="11" borderId="19" xfId="0" applyFont="1" applyFill="1" applyBorder="1" applyAlignment="1">
      <alignment horizontal="left" vertical="center"/>
    </xf>
    <xf numFmtId="0" fontId="73" fillId="11" borderId="27" xfId="0" applyFont="1" applyFill="1" applyBorder="1" applyAlignment="1">
      <alignment horizontal="left" vertical="center"/>
    </xf>
    <xf numFmtId="0" fontId="72" fillId="11" borderId="18" xfId="0" applyFont="1" applyFill="1" applyBorder="1" applyAlignment="1">
      <alignment horizontal="left" vertical="center" wrapText="1"/>
    </xf>
    <xf numFmtId="0" fontId="72" fillId="11" borderId="19" xfId="0" applyFont="1" applyFill="1" applyBorder="1" applyAlignment="1">
      <alignment horizontal="left" vertical="center" wrapText="1"/>
    </xf>
    <xf numFmtId="0" fontId="72" fillId="11" borderId="27" xfId="0" applyFont="1" applyFill="1" applyBorder="1" applyAlignment="1">
      <alignment horizontal="left" vertical="center" wrapText="1"/>
    </xf>
    <xf numFmtId="0" fontId="24" fillId="0" borderId="0" xfId="0" applyFont="1" applyAlignment="1">
      <alignment horizontal="center" vertical="center" wrapText="1"/>
    </xf>
    <xf numFmtId="0" fontId="49" fillId="0" borderId="0" xfId="0" applyFont="1" applyAlignment="1">
      <alignment horizontal="left" vertical="center" wrapText="1"/>
    </xf>
    <xf numFmtId="0" fontId="48" fillId="0" borderId="0" xfId="0" applyFont="1" applyAlignment="1">
      <alignment horizontal="left" vertical="center" wrapText="1"/>
    </xf>
    <xf numFmtId="0" fontId="12" fillId="10" borderId="25" xfId="0" applyFont="1" applyFill="1" applyBorder="1" applyAlignment="1">
      <alignment horizontal="center" vertical="center"/>
    </xf>
    <xf numFmtId="0" fontId="12" fillId="33" borderId="25" xfId="0" applyFont="1" applyFill="1" applyBorder="1" applyAlignment="1">
      <alignment horizontal="center" vertical="center"/>
    </xf>
    <xf numFmtId="14" fontId="12" fillId="10" borderId="25" xfId="0" applyNumberFormat="1" applyFont="1" applyFill="1" applyBorder="1" applyAlignment="1">
      <alignment horizontal="center" vertical="center"/>
    </xf>
    <xf numFmtId="0" fontId="24" fillId="3" borderId="21" xfId="0" applyFont="1" applyFill="1" applyBorder="1" applyAlignment="1">
      <alignment horizontal="center" vertical="center" wrapText="1"/>
    </xf>
    <xf numFmtId="0" fontId="24" fillId="3" borderId="22" xfId="0" applyFont="1" applyFill="1" applyBorder="1" applyAlignment="1">
      <alignment horizontal="center" vertical="center" wrapText="1"/>
    </xf>
    <xf numFmtId="0" fontId="24" fillId="3" borderId="23" xfId="0" applyFont="1" applyFill="1" applyBorder="1" applyAlignment="1">
      <alignment horizontal="center" vertical="center" wrapText="1"/>
    </xf>
    <xf numFmtId="0" fontId="24" fillId="3" borderId="2" xfId="0" applyFont="1" applyFill="1" applyBorder="1" applyAlignment="1">
      <alignment horizontal="center" vertical="center" wrapText="1"/>
    </xf>
    <xf numFmtId="0" fontId="24" fillId="3" borderId="0" xfId="0" applyFont="1" applyFill="1" applyAlignment="1">
      <alignment horizontal="center" vertical="center" wrapText="1"/>
    </xf>
    <xf numFmtId="0" fontId="24" fillId="3" borderId="3" xfId="0" applyFont="1" applyFill="1" applyBorder="1" applyAlignment="1">
      <alignment horizontal="center" vertical="center" wrapText="1"/>
    </xf>
    <xf numFmtId="0" fontId="24" fillId="3" borderId="24" xfId="0" applyFont="1" applyFill="1" applyBorder="1" applyAlignment="1">
      <alignment horizontal="center" vertical="center" wrapText="1"/>
    </xf>
    <xf numFmtId="0" fontId="24" fillId="3" borderId="25" xfId="0" applyFont="1" applyFill="1" applyBorder="1" applyAlignment="1">
      <alignment horizontal="center" vertical="center" wrapText="1"/>
    </xf>
    <xf numFmtId="0" fontId="24" fillId="3" borderId="26" xfId="0" applyFont="1" applyFill="1" applyBorder="1" applyAlignment="1">
      <alignment horizontal="center" vertical="center" wrapText="1"/>
    </xf>
    <xf numFmtId="0" fontId="24" fillId="3" borderId="20" xfId="0" applyFont="1" applyFill="1" applyBorder="1" applyAlignment="1">
      <alignment horizontal="center" vertical="center" wrapText="1"/>
    </xf>
    <xf numFmtId="0" fontId="24" fillId="3" borderId="29" xfId="0" applyFont="1" applyFill="1" applyBorder="1" applyAlignment="1">
      <alignment horizontal="center" vertical="center" wrapText="1"/>
    </xf>
    <xf numFmtId="0" fontId="24" fillId="3" borderId="28" xfId="0" applyFont="1" applyFill="1" applyBorder="1" applyAlignment="1">
      <alignment horizontal="center" vertical="center" wrapText="1"/>
    </xf>
    <xf numFmtId="0" fontId="9" fillId="3" borderId="21"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3" xfId="0" applyFont="1" applyFill="1" applyBorder="1" applyAlignment="1">
      <alignment horizontal="center" vertical="center" wrapText="1"/>
    </xf>
    <xf numFmtId="0" fontId="28" fillId="18" borderId="20" xfId="0" applyFont="1" applyFill="1" applyBorder="1" applyAlignment="1">
      <alignment horizontal="center" vertical="center"/>
    </xf>
    <xf numFmtId="0" fontId="28" fillId="18" borderId="29" xfId="0" applyFont="1" applyFill="1" applyBorder="1" applyAlignment="1">
      <alignment horizontal="center" vertical="center"/>
    </xf>
    <xf numFmtId="0" fontId="28" fillId="18" borderId="28" xfId="0" applyFont="1" applyFill="1" applyBorder="1" applyAlignment="1">
      <alignment horizontal="center" vertical="center"/>
    </xf>
    <xf numFmtId="0" fontId="26" fillId="0" borderId="12" xfId="0" applyFont="1" applyBorder="1" applyAlignment="1">
      <alignment horizontal="center" vertical="center"/>
    </xf>
    <xf numFmtId="0" fontId="26" fillId="11" borderId="12" xfId="0" applyFont="1" applyFill="1" applyBorder="1" applyAlignment="1">
      <alignment horizontal="center" vertical="center"/>
    </xf>
    <xf numFmtId="0" fontId="51" fillId="5" borderId="27" xfId="0" applyFont="1" applyFill="1" applyBorder="1" applyAlignment="1">
      <alignment horizontal="center" vertical="center" wrapText="1" readingOrder="1"/>
    </xf>
    <xf numFmtId="0" fontId="33" fillId="17" borderId="12" xfId="0" applyFont="1" applyFill="1" applyBorder="1" applyAlignment="1">
      <alignment horizontal="center" wrapText="1" readingOrder="1"/>
    </xf>
    <xf numFmtId="0" fontId="21" fillId="19" borderId="12" xfId="0" applyFont="1" applyFill="1" applyBorder="1" applyAlignment="1">
      <alignment horizontal="center" vertical="center" wrapText="1"/>
    </xf>
    <xf numFmtId="0" fontId="4" fillId="0" borderId="20" xfId="0" applyFont="1" applyBorder="1" applyAlignment="1">
      <alignment horizontal="center" vertical="center" wrapText="1" readingOrder="1"/>
    </xf>
    <xf numFmtId="0" fontId="4" fillId="0" borderId="29" xfId="0" applyFont="1" applyBorder="1" applyAlignment="1">
      <alignment horizontal="center" vertical="center" wrapText="1" readingOrder="1"/>
    </xf>
    <xf numFmtId="0" fontId="4" fillId="0" borderId="28" xfId="0" applyFont="1" applyBorder="1" applyAlignment="1">
      <alignment horizontal="center" vertical="center" wrapText="1" readingOrder="1"/>
    </xf>
    <xf numFmtId="0" fontId="51" fillId="5" borderId="12" xfId="0" applyFont="1" applyFill="1" applyBorder="1" applyAlignment="1">
      <alignment horizontal="center" vertical="center" wrapText="1" readingOrder="1"/>
    </xf>
    <xf numFmtId="0" fontId="4" fillId="3" borderId="20" xfId="0" applyFont="1" applyFill="1" applyBorder="1" applyAlignment="1">
      <alignment horizontal="center" vertical="center" wrapText="1" readingOrder="1"/>
    </xf>
    <xf numFmtId="0" fontId="4" fillId="3" borderId="29" xfId="0" applyFont="1" applyFill="1" applyBorder="1" applyAlignment="1">
      <alignment horizontal="center" vertical="center" wrapText="1" readingOrder="1"/>
    </xf>
    <xf numFmtId="0" fontId="4" fillId="3" borderId="28" xfId="0" applyFont="1" applyFill="1" applyBorder="1" applyAlignment="1">
      <alignment horizontal="center" vertical="center" wrapText="1" readingOrder="1"/>
    </xf>
    <xf numFmtId="0" fontId="7" fillId="5" borderId="12" xfId="0" applyFont="1" applyFill="1" applyBorder="1" applyAlignment="1">
      <alignment horizontal="center" vertical="top" wrapText="1" readingOrder="1"/>
    </xf>
    <xf numFmtId="0" fontId="6" fillId="7" borderId="23" xfId="0" applyFont="1" applyFill="1" applyBorder="1" applyAlignment="1">
      <alignment horizontal="center" vertical="center" wrapText="1" readingOrder="1"/>
    </xf>
    <xf numFmtId="0" fontId="6" fillId="7" borderId="3" xfId="0" applyFont="1" applyFill="1" applyBorder="1" applyAlignment="1">
      <alignment horizontal="center" vertical="center" wrapText="1" readingOrder="1"/>
    </xf>
    <xf numFmtId="0" fontId="6" fillId="7" borderId="26" xfId="0" applyFont="1" applyFill="1" applyBorder="1" applyAlignment="1">
      <alignment horizontal="center" vertical="center" wrapText="1" readingOrder="1"/>
    </xf>
    <xf numFmtId="0" fontId="51" fillId="5" borderId="12" xfId="0" applyFont="1" applyFill="1" applyBorder="1" applyAlignment="1">
      <alignment horizontal="center" vertical="top" wrapText="1" readingOrder="1"/>
    </xf>
    <xf numFmtId="0" fontId="47" fillId="0" borderId="18" xfId="0" applyFont="1" applyBorder="1" applyAlignment="1">
      <alignment horizontal="center" vertical="center" wrapText="1"/>
    </xf>
    <xf numFmtId="0" fontId="47" fillId="0" borderId="19" xfId="0" applyFont="1" applyBorder="1" applyAlignment="1">
      <alignment horizontal="center" vertical="center" wrapText="1"/>
    </xf>
    <xf numFmtId="0" fontId="47" fillId="0" borderId="27" xfId="0" applyFont="1" applyBorder="1" applyAlignment="1">
      <alignment horizontal="center" vertical="center" wrapText="1"/>
    </xf>
    <xf numFmtId="0" fontId="47" fillId="0" borderId="20" xfId="0" applyFont="1" applyBorder="1" applyAlignment="1">
      <alignment horizontal="center" vertical="center"/>
    </xf>
    <xf numFmtId="0" fontId="47" fillId="0" borderId="29" xfId="0" applyFont="1" applyBorder="1" applyAlignment="1">
      <alignment horizontal="center" vertical="center"/>
    </xf>
    <xf numFmtId="0" fontId="47" fillId="0" borderId="28" xfId="0" applyFont="1" applyBorder="1" applyAlignment="1">
      <alignment horizontal="center" vertical="center"/>
    </xf>
    <xf numFmtId="0" fontId="15" fillId="13" borderId="8" xfId="1" applyFont="1" applyFill="1" applyBorder="1" applyAlignment="1">
      <alignment horizontal="center" vertical="center"/>
    </xf>
    <xf numFmtId="0" fontId="15" fillId="13" borderId="5" xfId="1" applyFont="1" applyFill="1" applyBorder="1" applyAlignment="1">
      <alignment horizontal="center" vertical="center"/>
    </xf>
    <xf numFmtId="0" fontId="15" fillId="13" borderId="9" xfId="1" applyFont="1" applyFill="1" applyBorder="1" applyAlignment="1">
      <alignment horizontal="center" vertical="center"/>
    </xf>
    <xf numFmtId="0" fontId="12" fillId="3" borderId="25" xfId="0" applyFont="1" applyFill="1" applyBorder="1" applyAlignment="1">
      <alignment horizontal="center" vertical="center"/>
    </xf>
    <xf numFmtId="0" fontId="67" fillId="33" borderId="25" xfId="0" applyFont="1" applyFill="1" applyBorder="1" applyAlignment="1">
      <alignment horizontal="center" vertical="center"/>
    </xf>
    <xf numFmtId="0" fontId="12" fillId="33" borderId="25" xfId="0" quotePrefix="1" applyFont="1" applyFill="1" applyBorder="1" applyAlignment="1">
      <alignment horizontal="center" vertical="center"/>
    </xf>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27" xfId="0" applyFont="1" applyBorder="1" applyAlignment="1">
      <alignment horizontal="center" vertical="center" wrapText="1"/>
    </xf>
    <xf numFmtId="0" fontId="74" fillId="11" borderId="18" xfId="0" applyFont="1" applyFill="1" applyBorder="1" applyAlignment="1">
      <alignment horizontal="left" vertical="center" wrapText="1"/>
    </xf>
    <xf numFmtId="0" fontId="74" fillId="11" borderId="19" xfId="0" applyFont="1" applyFill="1" applyBorder="1" applyAlignment="1">
      <alignment horizontal="left" vertical="center"/>
    </xf>
    <xf numFmtId="0" fontId="74" fillId="11" borderId="27" xfId="0" applyFont="1" applyFill="1" applyBorder="1" applyAlignment="1">
      <alignment horizontal="left" vertical="center"/>
    </xf>
    <xf numFmtId="0" fontId="12" fillId="3" borderId="25" xfId="0" quotePrefix="1" applyFont="1" applyFill="1" applyBorder="1" applyAlignment="1">
      <alignment horizontal="center" vertical="center"/>
    </xf>
    <xf numFmtId="20" fontId="15" fillId="13" borderId="50" xfId="1" quotePrefix="1" applyNumberFormat="1" applyFont="1" applyFill="1" applyBorder="1" applyAlignment="1">
      <alignment horizontal="center" vertical="center" wrapText="1"/>
    </xf>
    <xf numFmtId="20" fontId="15" fillId="13" borderId="47" xfId="1" quotePrefix="1" applyNumberFormat="1" applyFont="1" applyFill="1" applyBorder="1" applyAlignment="1">
      <alignment horizontal="center" vertical="center" wrapText="1"/>
    </xf>
    <xf numFmtId="0" fontId="12" fillId="18" borderId="14" xfId="0" applyFont="1" applyFill="1" applyBorder="1" applyAlignment="1">
      <alignment horizontal="center" vertical="center"/>
    </xf>
    <xf numFmtId="0" fontId="12" fillId="18" borderId="17" xfId="0" applyFont="1" applyFill="1" applyBorder="1" applyAlignment="1">
      <alignment horizontal="center" vertical="center"/>
    </xf>
    <xf numFmtId="0" fontId="75" fillId="11" borderId="18" xfId="0" applyFont="1" applyFill="1" applyBorder="1" applyAlignment="1">
      <alignment horizontal="left" vertical="center" wrapText="1"/>
    </xf>
    <xf numFmtId="0" fontId="75" fillId="11" borderId="19" xfId="0" applyFont="1" applyFill="1" applyBorder="1" applyAlignment="1">
      <alignment horizontal="left" vertical="center" wrapText="1"/>
    </xf>
    <xf numFmtId="0" fontId="75" fillId="11" borderId="27" xfId="0" applyFont="1" applyFill="1" applyBorder="1" applyAlignment="1">
      <alignment horizontal="left" vertical="center" wrapText="1"/>
    </xf>
    <xf numFmtId="0" fontId="24" fillId="20" borderId="21" xfId="0" applyFont="1" applyFill="1" applyBorder="1" applyAlignment="1">
      <alignment horizontal="left" vertical="center" wrapText="1"/>
    </xf>
    <xf numFmtId="0" fontId="24" fillId="20" borderId="22" xfId="0" applyFont="1" applyFill="1" applyBorder="1" applyAlignment="1">
      <alignment horizontal="left" vertical="center" wrapText="1"/>
    </xf>
    <xf numFmtId="0" fontId="24" fillId="20" borderId="23" xfId="0" applyFont="1" applyFill="1" applyBorder="1" applyAlignment="1">
      <alignment horizontal="left" vertical="center" wrapText="1"/>
    </xf>
    <xf numFmtId="0" fontId="24" fillId="20" borderId="2" xfId="0" applyFont="1" applyFill="1" applyBorder="1" applyAlignment="1">
      <alignment horizontal="left" vertical="center" wrapText="1"/>
    </xf>
    <xf numFmtId="0" fontId="24" fillId="20" borderId="0" xfId="0" applyFont="1" applyFill="1" applyAlignment="1">
      <alignment horizontal="left" vertical="center" wrapText="1"/>
    </xf>
    <xf numFmtId="0" fontId="24" fillId="20" borderId="3" xfId="0" applyFont="1" applyFill="1" applyBorder="1" applyAlignment="1">
      <alignment horizontal="left" vertical="center" wrapText="1"/>
    </xf>
    <xf numFmtId="0" fontId="24" fillId="20" borderId="24" xfId="0" applyFont="1" applyFill="1" applyBorder="1" applyAlignment="1">
      <alignment horizontal="left" vertical="center" wrapText="1"/>
    </xf>
    <xf numFmtId="0" fontId="24" fillId="20" borderId="25" xfId="0" applyFont="1" applyFill="1" applyBorder="1" applyAlignment="1">
      <alignment horizontal="left" vertical="center" wrapText="1"/>
    </xf>
    <xf numFmtId="0" fontId="24" fillId="20" borderId="26" xfId="0" applyFont="1" applyFill="1" applyBorder="1" applyAlignment="1">
      <alignment horizontal="left" vertical="center" wrapText="1"/>
    </xf>
    <xf numFmtId="0" fontId="13" fillId="12" borderId="20" xfId="0" applyFont="1" applyFill="1" applyBorder="1" applyAlignment="1">
      <alignment horizontal="center" vertical="center" wrapText="1"/>
    </xf>
    <xf numFmtId="0" fontId="13" fillId="12" borderId="29" xfId="0" applyFont="1" applyFill="1" applyBorder="1" applyAlignment="1">
      <alignment horizontal="center" vertical="center" wrapText="1"/>
    </xf>
    <xf numFmtId="0" fontId="13" fillId="12" borderId="28" xfId="0" applyFont="1" applyFill="1" applyBorder="1" applyAlignment="1">
      <alignment horizontal="center" vertical="center" wrapText="1"/>
    </xf>
    <xf numFmtId="9" fontId="66" fillId="12" borderId="20" xfId="0" applyNumberFormat="1" applyFont="1" applyFill="1" applyBorder="1" applyAlignment="1">
      <alignment horizontal="center" vertical="center" wrapText="1"/>
    </xf>
    <xf numFmtId="0" fontId="66" fillId="12" borderId="29" xfId="0" applyFont="1" applyFill="1" applyBorder="1" applyAlignment="1">
      <alignment horizontal="center" vertical="center" wrapText="1"/>
    </xf>
    <xf numFmtId="0" fontId="66" fillId="12" borderId="28" xfId="0" applyFont="1" applyFill="1" applyBorder="1" applyAlignment="1">
      <alignment horizontal="center" vertical="center" wrapText="1"/>
    </xf>
    <xf numFmtId="9" fontId="12" fillId="35" borderId="21" xfId="0" applyNumberFormat="1" applyFont="1" applyFill="1" applyBorder="1" applyAlignment="1">
      <alignment horizontal="center" vertical="center"/>
    </xf>
    <xf numFmtId="0" fontId="12" fillId="35" borderId="23" xfId="0" applyFont="1" applyFill="1" applyBorder="1" applyAlignment="1">
      <alignment horizontal="center" vertical="center"/>
    </xf>
    <xf numFmtId="0" fontId="12" fillId="35" borderId="2" xfId="0" applyFont="1" applyFill="1" applyBorder="1" applyAlignment="1">
      <alignment horizontal="center" vertical="center"/>
    </xf>
    <xf numFmtId="0" fontId="12" fillId="35" borderId="3" xfId="0" applyFont="1" applyFill="1" applyBorder="1" applyAlignment="1">
      <alignment horizontal="center" vertical="center"/>
    </xf>
    <xf numFmtId="0" fontId="12" fillId="35" borderId="24" xfId="0" applyFont="1" applyFill="1" applyBorder="1" applyAlignment="1">
      <alignment horizontal="center" vertical="center"/>
    </xf>
    <xf numFmtId="0" fontId="12" fillId="35" borderId="26" xfId="0" applyFont="1" applyFill="1" applyBorder="1" applyAlignment="1">
      <alignment horizontal="center" vertical="center"/>
    </xf>
    <xf numFmtId="0" fontId="12" fillId="35" borderId="20" xfId="0" applyFont="1" applyFill="1" applyBorder="1" applyAlignment="1">
      <alignment horizontal="center" vertical="top"/>
    </xf>
    <xf numFmtId="0" fontId="12" fillId="35" borderId="29" xfId="0" applyFont="1" applyFill="1" applyBorder="1" applyAlignment="1">
      <alignment horizontal="center" vertical="top"/>
    </xf>
    <xf numFmtId="0" fontId="12" fillId="35" borderId="28" xfId="0" applyFont="1" applyFill="1" applyBorder="1" applyAlignment="1">
      <alignment horizontal="center" vertical="top"/>
    </xf>
    <xf numFmtId="9" fontId="22" fillId="0" borderId="20" xfId="0" applyNumberFormat="1" applyFont="1" applyBorder="1" applyAlignment="1">
      <alignment horizontal="center" vertical="center" wrapText="1"/>
    </xf>
    <xf numFmtId="0" fontId="22" fillId="0" borderId="29" xfId="0" applyFont="1" applyBorder="1" applyAlignment="1">
      <alignment horizontal="center" vertical="center" wrapText="1"/>
    </xf>
    <xf numFmtId="0" fontId="22" fillId="0" borderId="28" xfId="0" applyFont="1" applyBorder="1" applyAlignment="1">
      <alignment horizontal="center" vertical="center" wrapText="1"/>
    </xf>
    <xf numFmtId="9" fontId="70" fillId="12" borderId="20" xfId="0" applyNumberFormat="1" applyFont="1" applyFill="1" applyBorder="1" applyAlignment="1">
      <alignment horizontal="center" vertical="center" wrapText="1"/>
    </xf>
    <xf numFmtId="0" fontId="70" fillId="12" borderId="29" xfId="0" applyFont="1" applyFill="1" applyBorder="1" applyAlignment="1">
      <alignment horizontal="center" vertical="center" wrapText="1"/>
    </xf>
    <xf numFmtId="0" fontId="70" fillId="12" borderId="28" xfId="0" applyFont="1" applyFill="1" applyBorder="1" applyAlignment="1">
      <alignment horizontal="center" vertical="center" wrapText="1"/>
    </xf>
    <xf numFmtId="0" fontId="21" fillId="0" borderId="20" xfId="0" applyFont="1" applyBorder="1" applyAlignment="1">
      <alignment horizontal="center" vertical="center" wrapText="1"/>
    </xf>
    <xf numFmtId="0" fontId="21" fillId="0" borderId="29" xfId="0" applyFont="1" applyBorder="1" applyAlignment="1">
      <alignment horizontal="center" vertical="center" wrapText="1"/>
    </xf>
    <xf numFmtId="0" fontId="21" fillId="0" borderId="28" xfId="0" applyFont="1" applyBorder="1" applyAlignment="1">
      <alignment horizontal="center" vertical="center" wrapText="1"/>
    </xf>
    <xf numFmtId="0" fontId="22" fillId="4" borderId="21" xfId="0" applyFont="1" applyFill="1" applyBorder="1" applyAlignment="1">
      <alignment horizontal="left" vertical="top" wrapText="1"/>
    </xf>
    <xf numFmtId="0" fontId="22" fillId="4" borderId="22" xfId="0" applyFont="1" applyFill="1" applyBorder="1" applyAlignment="1">
      <alignment horizontal="left" vertical="top" wrapText="1"/>
    </xf>
    <xf numFmtId="0" fontId="22" fillId="4" borderId="23" xfId="0" applyFont="1" applyFill="1" applyBorder="1" applyAlignment="1">
      <alignment horizontal="left" vertical="top" wrapText="1"/>
    </xf>
    <xf numFmtId="0" fontId="22" fillId="4" borderId="2" xfId="0" applyFont="1" applyFill="1" applyBorder="1" applyAlignment="1">
      <alignment horizontal="left" vertical="top" wrapText="1"/>
    </xf>
    <xf numFmtId="0" fontId="22" fillId="4" borderId="0" xfId="0" applyFont="1" applyFill="1" applyAlignment="1">
      <alignment horizontal="left" vertical="top" wrapText="1"/>
    </xf>
    <xf numFmtId="0" fontId="22" fillId="4" borderId="3" xfId="0" applyFont="1" applyFill="1" applyBorder="1" applyAlignment="1">
      <alignment horizontal="left" vertical="top" wrapText="1"/>
    </xf>
    <xf numFmtId="0" fontId="22" fillId="4" borderId="24" xfId="0" applyFont="1" applyFill="1" applyBorder="1" applyAlignment="1">
      <alignment horizontal="left" vertical="top" wrapText="1"/>
    </xf>
    <xf numFmtId="0" fontId="22" fillId="4" borderId="25" xfId="0" applyFont="1" applyFill="1" applyBorder="1" applyAlignment="1">
      <alignment horizontal="left" vertical="top" wrapText="1"/>
    </xf>
    <xf numFmtId="0" fontId="22" fillId="4" borderId="26" xfId="0" applyFont="1" applyFill="1" applyBorder="1" applyAlignment="1">
      <alignment horizontal="left" vertical="top" wrapText="1"/>
    </xf>
    <xf numFmtId="0" fontId="12" fillId="11" borderId="21" xfId="0" applyFont="1" applyFill="1" applyBorder="1" applyAlignment="1">
      <alignment horizontal="center" vertical="center"/>
    </xf>
    <xf numFmtId="0" fontId="12" fillId="11" borderId="23" xfId="0" applyFont="1" applyFill="1" applyBorder="1" applyAlignment="1">
      <alignment horizontal="center" vertical="center"/>
    </xf>
    <xf numFmtId="0" fontId="12" fillId="11" borderId="2" xfId="0" applyFont="1" applyFill="1" applyBorder="1" applyAlignment="1">
      <alignment horizontal="center" vertical="center"/>
    </xf>
    <xf numFmtId="0" fontId="12" fillId="11" borderId="3" xfId="0" applyFont="1" applyFill="1" applyBorder="1" applyAlignment="1">
      <alignment horizontal="center" vertical="center"/>
    </xf>
    <xf numFmtId="0" fontId="12" fillId="11" borderId="24" xfId="0" applyFont="1" applyFill="1" applyBorder="1" applyAlignment="1">
      <alignment horizontal="center" vertical="center"/>
    </xf>
    <xf numFmtId="0" fontId="12" fillId="11" borderId="26" xfId="0" applyFont="1" applyFill="1" applyBorder="1" applyAlignment="1">
      <alignment horizontal="center" vertical="center"/>
    </xf>
    <xf numFmtId="0" fontId="22" fillId="0" borderId="20" xfId="0" applyFont="1" applyBorder="1" applyAlignment="1">
      <alignment horizontal="center" vertical="center" wrapText="1"/>
    </xf>
    <xf numFmtId="2" fontId="43" fillId="21" borderId="21" xfId="0" applyNumberFormat="1" applyFont="1" applyFill="1" applyBorder="1" applyAlignment="1">
      <alignment horizontal="center" vertical="center"/>
    </xf>
    <xf numFmtId="0" fontId="43" fillId="21" borderId="22" xfId="0" applyFont="1" applyFill="1" applyBorder="1" applyAlignment="1">
      <alignment horizontal="center" vertical="center"/>
    </xf>
    <xf numFmtId="0" fontId="43" fillId="21" borderId="23" xfId="0" applyFont="1" applyFill="1" applyBorder="1" applyAlignment="1">
      <alignment horizontal="center" vertical="center"/>
    </xf>
    <xf numFmtId="0" fontId="43" fillId="21" borderId="2" xfId="0" applyFont="1" applyFill="1" applyBorder="1" applyAlignment="1">
      <alignment horizontal="center" vertical="center"/>
    </xf>
    <xf numFmtId="0" fontId="43" fillId="21" borderId="0" xfId="0" applyFont="1" applyFill="1" applyAlignment="1">
      <alignment horizontal="center" vertical="center"/>
    </xf>
    <xf numFmtId="0" fontId="43" fillId="21" borderId="3" xfId="0" applyFont="1" applyFill="1" applyBorder="1" applyAlignment="1">
      <alignment horizontal="center" vertical="center"/>
    </xf>
    <xf numFmtId="0" fontId="43" fillId="21" borderId="24" xfId="0" applyFont="1" applyFill="1" applyBorder="1" applyAlignment="1">
      <alignment horizontal="center" vertical="center"/>
    </xf>
    <xf numFmtId="0" fontId="43" fillId="21" borderId="25" xfId="0" applyFont="1" applyFill="1" applyBorder="1" applyAlignment="1">
      <alignment horizontal="center" vertical="center"/>
    </xf>
    <xf numFmtId="0" fontId="43" fillId="21" borderId="26" xfId="0" applyFont="1" applyFill="1" applyBorder="1" applyAlignment="1">
      <alignment horizontal="center" vertical="center"/>
    </xf>
    <xf numFmtId="0" fontId="59" fillId="28" borderId="54" xfId="0" applyFont="1" applyFill="1" applyBorder="1" applyAlignment="1">
      <alignment horizontal="left" vertical="center" wrapText="1" readingOrder="1"/>
    </xf>
    <xf numFmtId="0" fontId="55" fillId="28" borderId="54" xfId="0" applyFont="1" applyFill="1" applyBorder="1" applyAlignment="1">
      <alignment horizontal="center" vertical="center" wrapText="1" readingOrder="1"/>
    </xf>
    <xf numFmtId="0" fontId="63" fillId="21" borderId="18" xfId="0" applyFont="1" applyFill="1" applyBorder="1" applyAlignment="1">
      <alignment horizontal="center" vertical="center" wrapText="1" readingOrder="1"/>
    </xf>
    <xf numFmtId="0" fontId="63" fillId="21" borderId="27" xfId="0" applyFont="1" applyFill="1" applyBorder="1" applyAlignment="1">
      <alignment horizontal="center" vertical="center" wrapText="1" readingOrder="1"/>
    </xf>
    <xf numFmtId="0" fontId="63" fillId="25" borderId="18" xfId="0" applyFont="1" applyFill="1" applyBorder="1" applyAlignment="1">
      <alignment horizontal="center" vertical="center" wrapText="1" readingOrder="1"/>
    </xf>
    <xf numFmtId="0" fontId="63" fillId="25" borderId="27" xfId="0" applyFont="1" applyFill="1" applyBorder="1" applyAlignment="1">
      <alignment horizontal="center" vertical="center" wrapText="1" readingOrder="1"/>
    </xf>
    <xf numFmtId="0" fontId="60" fillId="26" borderId="18" xfId="0" applyFont="1" applyFill="1" applyBorder="1" applyAlignment="1">
      <alignment horizontal="center" vertical="center" wrapText="1" readingOrder="1"/>
    </xf>
    <xf numFmtId="0" fontId="60" fillId="26" borderId="27" xfId="0" applyFont="1" applyFill="1" applyBorder="1" applyAlignment="1">
      <alignment horizontal="center" vertical="center" wrapText="1" readingOrder="1"/>
    </xf>
    <xf numFmtId="0" fontId="64" fillId="32" borderId="18" xfId="0" applyFont="1" applyFill="1" applyBorder="1" applyAlignment="1">
      <alignment horizontal="center" vertical="center" wrapText="1" readingOrder="1"/>
    </xf>
    <xf numFmtId="0" fontId="64" fillId="32" borderId="27" xfId="0" applyFont="1" applyFill="1" applyBorder="1" applyAlignment="1">
      <alignment horizontal="center" vertical="center" wrapText="1" readingOrder="1"/>
    </xf>
    <xf numFmtId="0" fontId="54" fillId="7" borderId="54" xfId="0" applyFont="1" applyFill="1" applyBorder="1" applyAlignment="1">
      <alignment horizontal="center" vertical="center" wrapText="1" readingOrder="1"/>
    </xf>
    <xf numFmtId="0" fontId="59" fillId="28" borderId="54" xfId="0" applyFont="1" applyFill="1" applyBorder="1" applyAlignment="1">
      <alignment vertical="center" wrapText="1" readingOrder="1"/>
    </xf>
    <xf numFmtId="0" fontId="57" fillId="31" borderId="54" xfId="0" applyFont="1" applyFill="1" applyBorder="1" applyAlignment="1">
      <alignment horizontal="center" vertical="center" wrapText="1" readingOrder="1"/>
    </xf>
    <xf numFmtId="0" fontId="63" fillId="24" borderId="18" xfId="0" applyFont="1" applyFill="1" applyBorder="1" applyAlignment="1">
      <alignment horizontal="center" vertical="center" wrapText="1" readingOrder="1"/>
    </xf>
    <xf numFmtId="0" fontId="63" fillId="24" borderId="27" xfId="0" applyFont="1" applyFill="1" applyBorder="1" applyAlignment="1">
      <alignment horizontal="center" vertical="center" wrapText="1" readingOrder="1"/>
    </xf>
    <xf numFmtId="0" fontId="59" fillId="28" borderId="54" xfId="0" quotePrefix="1" applyFont="1" applyFill="1" applyBorder="1" applyAlignment="1">
      <alignment horizontal="left" vertical="center" wrapText="1" readingOrder="1"/>
    </xf>
    <xf numFmtId="0" fontId="60" fillId="23" borderId="12" xfId="0" applyFont="1" applyFill="1" applyBorder="1" applyAlignment="1">
      <alignment horizontal="center" vertical="center" wrapText="1" readingOrder="1"/>
    </xf>
    <xf numFmtId="0" fontId="5" fillId="29" borderId="54" xfId="0" applyFont="1" applyFill="1" applyBorder="1" applyAlignment="1">
      <alignment horizontal="center" vertical="center" wrapText="1"/>
    </xf>
    <xf numFmtId="0" fontId="57" fillId="21" borderId="54" xfId="0" applyFont="1" applyFill="1" applyBorder="1" applyAlignment="1">
      <alignment horizontal="center" vertical="center" wrapText="1" readingOrder="1"/>
    </xf>
    <xf numFmtId="0" fontId="57" fillId="25" borderId="54" xfId="0" applyFont="1" applyFill="1" applyBorder="1" applyAlignment="1">
      <alignment horizontal="center" vertical="center" wrapText="1" readingOrder="1"/>
    </xf>
    <xf numFmtId="0" fontId="62" fillId="32" borderId="54" xfId="0" applyFont="1" applyFill="1" applyBorder="1" applyAlignment="1">
      <alignment horizontal="center" vertical="center" wrapText="1" readingOrder="1"/>
    </xf>
    <xf numFmtId="0" fontId="55" fillId="27" borderId="12" xfId="0" applyFont="1" applyFill="1" applyBorder="1" applyAlignment="1">
      <alignment horizontal="center" vertical="center" wrapText="1" readingOrder="1"/>
    </xf>
    <xf numFmtId="0" fontId="55" fillId="27" borderId="12" xfId="0" applyFont="1" applyFill="1" applyBorder="1" applyAlignment="1">
      <alignment horizontal="left" vertical="center" wrapText="1" readingOrder="1"/>
    </xf>
    <xf numFmtId="0" fontId="60" fillId="23" borderId="12" xfId="0" applyFont="1" applyFill="1" applyBorder="1" applyAlignment="1">
      <alignment horizontal="center" vertical="center" textRotation="90" wrapText="1" readingOrder="1"/>
    </xf>
    <xf numFmtId="0" fontId="5" fillId="29" borderId="54" xfId="0" applyFont="1" applyFill="1" applyBorder="1" applyAlignment="1">
      <alignment horizontal="left" vertical="center" wrapText="1"/>
    </xf>
    <xf numFmtId="0" fontId="5" fillId="29" borderId="28" xfId="0" applyFont="1" applyFill="1" applyBorder="1" applyAlignment="1">
      <alignment vertical="center" wrapText="1"/>
    </xf>
    <xf numFmtId="0" fontId="57" fillId="24" borderId="54" xfId="0" applyFont="1" applyFill="1" applyBorder="1" applyAlignment="1">
      <alignment horizontal="center" vertical="center" wrapText="1" readingOrder="1"/>
    </xf>
    <xf numFmtId="0" fontId="56" fillId="23" borderId="12" xfId="0" applyFont="1" applyFill="1" applyBorder="1" applyAlignment="1">
      <alignment horizontal="center" vertical="center" wrapText="1" readingOrder="1"/>
    </xf>
    <xf numFmtId="0" fontId="5" fillId="29" borderId="53" xfId="0" applyFont="1" applyFill="1" applyBorder="1" applyAlignment="1">
      <alignment horizontal="center" vertical="center" wrapText="1"/>
    </xf>
    <xf numFmtId="0" fontId="58" fillId="29" borderId="53" xfId="0" applyFont="1" applyFill="1" applyBorder="1" applyAlignment="1">
      <alignment horizontal="center" vertical="center" wrapText="1"/>
    </xf>
    <xf numFmtId="0" fontId="5" fillId="7" borderId="54" xfId="0" applyFont="1" applyFill="1" applyBorder="1" applyAlignment="1">
      <alignment horizontal="center" vertical="center" wrapText="1"/>
    </xf>
  </cellXfs>
  <cellStyles count="6">
    <cellStyle name="Hyperlink" xfId="5" builtinId="8"/>
    <cellStyle name="Normal" xfId="0" builtinId="0"/>
    <cellStyle name="Normal 2" xfId="2" xr:uid="{00000000-0005-0000-0000-000001000000}"/>
    <cellStyle name="Normal_Idemitsu_PMS_Sheet_JPN" xfId="1" xr:uid="{00000000-0005-0000-0000-000002000000}"/>
    <cellStyle name="Percent" xfId="4" builtinId="5"/>
    <cellStyle name="標準_成果行動辞書（2001年度改定版）070718" xfId="3" xr:uid="{00000000-0005-0000-0000-000004000000}"/>
  </cellStyles>
  <dxfs count="0"/>
  <tableStyles count="0" defaultTableStyle="TableStyleMedium2" defaultPivotStyle="PivotStyleLight16"/>
  <colors>
    <mruColors>
      <color rgb="FFFF3399"/>
      <color rgb="FFD60093"/>
      <color rgb="FFFFCCFF"/>
      <color rgb="FFFFFF99"/>
      <color rgb="FF66FF99"/>
      <color rgb="FFFFCC99"/>
      <color rgb="FFCCFFCC"/>
      <color rgb="FF7EEF31"/>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14</xdr:col>
      <xdr:colOff>3087844</xdr:colOff>
      <xdr:row>38</xdr:row>
      <xdr:rowOff>817028</xdr:rowOff>
    </xdr:from>
    <xdr:to>
      <xdr:col>24</xdr:col>
      <xdr:colOff>398588</xdr:colOff>
      <xdr:row>47</xdr:row>
      <xdr:rowOff>877014</xdr:rowOff>
    </xdr:to>
    <xdr:pic>
      <xdr:nvPicPr>
        <xdr:cNvPr id="2" name="Picture 1">
          <a:extLst>
            <a:ext uri="{FF2B5EF4-FFF2-40B4-BE49-F238E27FC236}">
              <a16:creationId xmlns:a16="http://schemas.microsoft.com/office/drawing/2014/main" id="{A439A916-C99E-4130-9D63-94C2A3984CBF}"/>
            </a:ext>
          </a:extLst>
        </xdr:cNvPr>
        <xdr:cNvPicPr>
          <a:picLocks noChangeAspect="1"/>
        </xdr:cNvPicPr>
      </xdr:nvPicPr>
      <xdr:blipFill rotWithShape="1">
        <a:blip xmlns:r="http://schemas.openxmlformats.org/officeDocument/2006/relationships" r:embed="rId1"/>
        <a:srcRect r="34623"/>
        <a:stretch/>
      </xdr:blipFill>
      <xdr:spPr>
        <a:xfrm>
          <a:off x="49642060" y="32766244"/>
          <a:ext cx="8167999" cy="75971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153939</xdr:colOff>
      <xdr:row>15</xdr:row>
      <xdr:rowOff>134698</xdr:rowOff>
    </xdr:from>
    <xdr:to>
      <xdr:col>44</xdr:col>
      <xdr:colOff>864003</xdr:colOff>
      <xdr:row>17</xdr:row>
      <xdr:rowOff>153138</xdr:rowOff>
    </xdr:to>
    <xdr:pic>
      <xdr:nvPicPr>
        <xdr:cNvPr id="7" name="Picture 6">
          <a:extLst>
            <a:ext uri="{FF2B5EF4-FFF2-40B4-BE49-F238E27FC236}">
              <a16:creationId xmlns:a16="http://schemas.microsoft.com/office/drawing/2014/main" id="{E5AB3404-5081-4783-A243-BDB3A7C043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025454" y="6811819"/>
          <a:ext cx="12469091" cy="2289046"/>
        </a:xfrm>
        <a:prstGeom prst="rect">
          <a:avLst/>
        </a:prstGeom>
        <a:noFill/>
      </xdr:spPr>
    </xdr:pic>
    <xdr:clientData/>
  </xdr:twoCellAnchor>
  <xdr:twoCellAnchor editAs="oneCell">
    <xdr:from>
      <xdr:col>34</xdr:col>
      <xdr:colOff>269395</xdr:colOff>
      <xdr:row>19</xdr:row>
      <xdr:rowOff>390049</xdr:rowOff>
    </xdr:from>
    <xdr:to>
      <xdr:col>44</xdr:col>
      <xdr:colOff>810086</xdr:colOff>
      <xdr:row>22</xdr:row>
      <xdr:rowOff>351641</xdr:rowOff>
    </xdr:to>
    <xdr:pic>
      <xdr:nvPicPr>
        <xdr:cNvPr id="8" name="Picture 7">
          <a:extLst>
            <a:ext uri="{FF2B5EF4-FFF2-40B4-BE49-F238E27FC236}">
              <a16:creationId xmlns:a16="http://schemas.microsoft.com/office/drawing/2014/main" id="{0CA8860C-8215-415A-BA76-8BB06EE47D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140910" y="10877170"/>
          <a:ext cx="12295908" cy="2275128"/>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34</xdr:col>
      <xdr:colOff>153939</xdr:colOff>
      <xdr:row>15</xdr:row>
      <xdr:rowOff>134698</xdr:rowOff>
    </xdr:from>
    <xdr:to>
      <xdr:col>44</xdr:col>
      <xdr:colOff>865908</xdr:colOff>
      <xdr:row>17</xdr:row>
      <xdr:rowOff>153138</xdr:rowOff>
    </xdr:to>
    <xdr:pic>
      <xdr:nvPicPr>
        <xdr:cNvPr id="2" name="Picture 1">
          <a:extLst>
            <a:ext uri="{FF2B5EF4-FFF2-40B4-BE49-F238E27FC236}">
              <a16:creationId xmlns:a16="http://schemas.microsoft.com/office/drawing/2014/main" id="{19CEF03A-0796-4C81-B8B1-6A33D742A8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042089" y="6770448"/>
          <a:ext cx="12427719" cy="2291740"/>
        </a:xfrm>
        <a:prstGeom prst="rect">
          <a:avLst/>
        </a:prstGeom>
        <a:noFill/>
      </xdr:spPr>
    </xdr:pic>
    <xdr:clientData/>
  </xdr:twoCellAnchor>
  <xdr:twoCellAnchor editAs="oneCell">
    <xdr:from>
      <xdr:col>34</xdr:col>
      <xdr:colOff>269395</xdr:colOff>
      <xdr:row>19</xdr:row>
      <xdr:rowOff>390049</xdr:rowOff>
    </xdr:from>
    <xdr:to>
      <xdr:col>44</xdr:col>
      <xdr:colOff>808181</xdr:colOff>
      <xdr:row>22</xdr:row>
      <xdr:rowOff>349736</xdr:rowOff>
    </xdr:to>
    <xdr:pic>
      <xdr:nvPicPr>
        <xdr:cNvPr id="3" name="Picture 2">
          <a:extLst>
            <a:ext uri="{FF2B5EF4-FFF2-40B4-BE49-F238E27FC236}">
              <a16:creationId xmlns:a16="http://schemas.microsoft.com/office/drawing/2014/main" id="{6FB01914-E69F-49CB-B63D-C65E7AC99B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157545" y="10823099"/>
          <a:ext cx="12254536" cy="2252037"/>
        </a:xfrm>
        <a:prstGeom prst="rect">
          <a:avLst/>
        </a:prstGeom>
        <a:noFill/>
      </xdr:spPr>
    </xdr:pic>
    <xdr:clientData/>
  </xdr:twoCellAnchor>
  <xdr:twoCellAnchor>
    <xdr:from>
      <xdr:col>47</xdr:col>
      <xdr:colOff>56933</xdr:colOff>
      <xdr:row>0</xdr:row>
      <xdr:rowOff>0</xdr:rowOff>
    </xdr:from>
    <xdr:to>
      <xdr:col>47</xdr:col>
      <xdr:colOff>1116725</xdr:colOff>
      <xdr:row>1</xdr:row>
      <xdr:rowOff>412578</xdr:rowOff>
    </xdr:to>
    <xdr:sp macro="" textlink="">
      <xdr:nvSpPr>
        <xdr:cNvPr id="6" name="TextBox 5">
          <a:extLst>
            <a:ext uri="{FF2B5EF4-FFF2-40B4-BE49-F238E27FC236}">
              <a16:creationId xmlns:a16="http://schemas.microsoft.com/office/drawing/2014/main" id="{EDEA7729-189F-4269-8986-CB80A152D296}"/>
            </a:ext>
          </a:extLst>
        </xdr:cNvPr>
        <xdr:cNvSpPr txBox="1"/>
      </xdr:nvSpPr>
      <xdr:spPr>
        <a:xfrm>
          <a:off x="60119174" y="0"/>
          <a:ext cx="1059792" cy="850509"/>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1</a:t>
          </a:r>
        </a:p>
      </xdr:txBody>
    </xdr:sp>
    <xdr:clientData/>
  </xdr:twoCellAnchor>
  <xdr:twoCellAnchor>
    <xdr:from>
      <xdr:col>45</xdr:col>
      <xdr:colOff>67957</xdr:colOff>
      <xdr:row>0</xdr:row>
      <xdr:rowOff>151509</xdr:rowOff>
    </xdr:from>
    <xdr:to>
      <xdr:col>46</xdr:col>
      <xdr:colOff>1083957</xdr:colOff>
      <xdr:row>1</xdr:row>
      <xdr:rowOff>299675</xdr:rowOff>
    </xdr:to>
    <xdr:sp macro="" textlink="">
      <xdr:nvSpPr>
        <xdr:cNvPr id="7" name="Rectangle 6">
          <a:extLst>
            <a:ext uri="{FF2B5EF4-FFF2-40B4-BE49-F238E27FC236}">
              <a16:creationId xmlns:a16="http://schemas.microsoft.com/office/drawing/2014/main" id="{82376246-8737-4BA1-A82C-77C56CC7E4C7}"/>
            </a:ext>
          </a:extLst>
        </xdr:cNvPr>
        <xdr:cNvSpPr/>
      </xdr:nvSpPr>
      <xdr:spPr>
        <a:xfrm>
          <a:off x="57772746" y="151509"/>
          <a:ext cx="2145632" cy="596008"/>
        </a:xfrm>
        <a:prstGeom prst="rect">
          <a:avLst/>
        </a:prstGeom>
        <a:no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45</xdr:col>
      <xdr:colOff>155082</xdr:colOff>
      <xdr:row>2</xdr:row>
      <xdr:rowOff>165570</xdr:rowOff>
    </xdr:from>
    <xdr:to>
      <xdr:col>50</xdr:col>
      <xdr:colOff>0</xdr:colOff>
      <xdr:row>7</xdr:row>
      <xdr:rowOff>350345</xdr:rowOff>
    </xdr:to>
    <xdr:sp macro="" textlink="">
      <xdr:nvSpPr>
        <xdr:cNvPr id="8" name="Rectangle 7">
          <a:extLst>
            <a:ext uri="{FF2B5EF4-FFF2-40B4-BE49-F238E27FC236}">
              <a16:creationId xmlns:a16="http://schemas.microsoft.com/office/drawing/2014/main" id="{CEEB257F-7CDA-4DEE-9952-2AB650063B53}"/>
            </a:ext>
          </a:extLst>
        </xdr:cNvPr>
        <xdr:cNvSpPr/>
      </xdr:nvSpPr>
      <xdr:spPr>
        <a:xfrm>
          <a:off x="57940082" y="1041432"/>
          <a:ext cx="5538021" cy="2045982"/>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800">
              <a:solidFill>
                <a:schemeClr val="tx1"/>
              </a:solidFill>
            </a:rPr>
            <a:t>พนักงานกรอก</a:t>
          </a:r>
          <a:r>
            <a:rPr lang="th-TH" sz="2800" baseline="0">
              <a:solidFill>
                <a:schemeClr val="tx1"/>
              </a:solidFill>
            </a:rPr>
            <a:t> </a:t>
          </a:r>
          <a:r>
            <a:rPr lang="th-TH" sz="2800" b="1" u="sng" baseline="0">
              <a:solidFill>
                <a:srgbClr val="FF0000"/>
              </a:solidFill>
            </a:rPr>
            <a:t>เกรดใหม่ </a:t>
          </a:r>
          <a:r>
            <a:rPr lang="th-TH" sz="2800" baseline="0">
              <a:solidFill>
                <a:schemeClr val="tx1"/>
              </a:solidFill>
            </a:rPr>
            <a:t>และ เลือกภาษาที่ต้องการแสดง </a:t>
          </a:r>
        </a:p>
        <a:p>
          <a:pPr algn="l"/>
          <a:r>
            <a:rPr lang="en-US" sz="2800" baseline="0">
              <a:solidFill>
                <a:schemeClr val="tx1"/>
              </a:solidFill>
            </a:rPr>
            <a:t>T = </a:t>
          </a:r>
          <a:r>
            <a:rPr lang="th-TH" sz="2800" baseline="0">
              <a:solidFill>
                <a:schemeClr val="tx1"/>
              </a:solidFill>
            </a:rPr>
            <a:t>ภาษาไทย</a:t>
          </a:r>
          <a:endParaRPr lang="en-US" sz="2800" baseline="0">
            <a:solidFill>
              <a:schemeClr val="tx1"/>
            </a:solidFill>
          </a:endParaRPr>
        </a:p>
        <a:p>
          <a:pPr algn="l"/>
          <a:r>
            <a:rPr lang="en-US" sz="2800" baseline="0">
              <a:solidFill>
                <a:schemeClr val="tx1"/>
              </a:solidFill>
            </a:rPr>
            <a:t>E = </a:t>
          </a:r>
          <a:r>
            <a:rPr lang="th-TH" sz="2800" baseline="0">
              <a:solidFill>
                <a:schemeClr val="tx1"/>
              </a:solidFill>
            </a:rPr>
            <a:t>ภาษาอังกฤษ</a:t>
          </a:r>
          <a:endParaRPr lang="en-US" sz="2800">
            <a:solidFill>
              <a:schemeClr val="tx1"/>
            </a:solidFill>
          </a:endParaRPr>
        </a:p>
      </xdr:txBody>
    </xdr:sp>
    <xdr:clientData/>
  </xdr:twoCellAnchor>
  <xdr:twoCellAnchor>
    <xdr:from>
      <xdr:col>11</xdr:col>
      <xdr:colOff>699016</xdr:colOff>
      <xdr:row>11</xdr:row>
      <xdr:rowOff>191452</xdr:rowOff>
    </xdr:from>
    <xdr:to>
      <xdr:col>20</xdr:col>
      <xdr:colOff>262759</xdr:colOff>
      <xdr:row>13</xdr:row>
      <xdr:rowOff>1072931</xdr:rowOff>
    </xdr:to>
    <xdr:sp macro="" textlink="">
      <xdr:nvSpPr>
        <xdr:cNvPr id="14" name="Rectangle 13">
          <a:extLst>
            <a:ext uri="{FF2B5EF4-FFF2-40B4-BE49-F238E27FC236}">
              <a16:creationId xmlns:a16="http://schemas.microsoft.com/office/drawing/2014/main" id="{BA1B9B69-750E-43A6-BC8D-E65807F38037}"/>
            </a:ext>
          </a:extLst>
        </xdr:cNvPr>
        <xdr:cNvSpPr/>
      </xdr:nvSpPr>
      <xdr:spPr>
        <a:xfrm>
          <a:off x="15150740" y="4417486"/>
          <a:ext cx="11125122" cy="1625962"/>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3600">
              <a:solidFill>
                <a:schemeClr val="tx1"/>
              </a:solidFill>
            </a:rPr>
            <a:t>พนักงานกรอก</a:t>
          </a:r>
          <a:r>
            <a:rPr lang="th-TH" sz="3600" b="0" u="none" baseline="0">
              <a:solidFill>
                <a:schemeClr val="tx1"/>
              </a:solidFill>
            </a:rPr>
            <a:t>ประวัติส่วนตัว</a:t>
          </a:r>
          <a:r>
            <a:rPr lang="th-TH" sz="3600" b="1" u="none" baseline="0">
              <a:solidFill>
                <a:schemeClr val="tx1"/>
              </a:solidFill>
            </a:rPr>
            <a:t>ในช่องที่เป็น </a:t>
          </a:r>
          <a:r>
            <a:rPr lang="th-TH" sz="3600" b="1" u="none" baseline="0">
              <a:solidFill>
                <a:srgbClr val="0070C0"/>
              </a:solidFill>
            </a:rPr>
            <a:t>สีฟ้า </a:t>
          </a:r>
          <a:r>
            <a:rPr lang="th-TH" sz="3600" b="1" u="none" baseline="0">
              <a:solidFill>
                <a:schemeClr val="tx1"/>
              </a:solidFill>
            </a:rPr>
            <a:t>เท่านั้น</a:t>
          </a:r>
          <a:endParaRPr lang="en-US" sz="3600" u="none">
            <a:solidFill>
              <a:schemeClr val="tx1"/>
            </a:solidFill>
          </a:endParaRPr>
        </a:p>
      </xdr:txBody>
    </xdr:sp>
    <xdr:clientData/>
  </xdr:twoCellAnchor>
  <xdr:twoCellAnchor>
    <xdr:from>
      <xdr:col>0</xdr:col>
      <xdr:colOff>371234</xdr:colOff>
      <xdr:row>14</xdr:row>
      <xdr:rowOff>832069</xdr:rowOff>
    </xdr:from>
    <xdr:to>
      <xdr:col>1</xdr:col>
      <xdr:colOff>284656</xdr:colOff>
      <xdr:row>15</xdr:row>
      <xdr:rowOff>596084</xdr:rowOff>
    </xdr:to>
    <xdr:sp macro="" textlink="">
      <xdr:nvSpPr>
        <xdr:cNvPr id="16" name="TextBox 15">
          <a:extLst>
            <a:ext uri="{FF2B5EF4-FFF2-40B4-BE49-F238E27FC236}">
              <a16:creationId xmlns:a16="http://schemas.microsoft.com/office/drawing/2014/main" id="{D7408B18-8ADD-4A3A-B751-FE95169FBF90}"/>
            </a:ext>
          </a:extLst>
        </xdr:cNvPr>
        <xdr:cNvSpPr txBox="1"/>
      </xdr:nvSpPr>
      <xdr:spPr>
        <a:xfrm>
          <a:off x="371234" y="7050690"/>
          <a:ext cx="1117732" cy="968325"/>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3</a:t>
          </a:r>
        </a:p>
      </xdr:txBody>
    </xdr:sp>
    <xdr:clientData/>
  </xdr:twoCellAnchor>
  <xdr:twoCellAnchor>
    <xdr:from>
      <xdr:col>1</xdr:col>
      <xdr:colOff>675322</xdr:colOff>
      <xdr:row>14</xdr:row>
      <xdr:rowOff>792765</xdr:rowOff>
    </xdr:from>
    <xdr:to>
      <xdr:col>8</xdr:col>
      <xdr:colOff>902138</xdr:colOff>
      <xdr:row>15</xdr:row>
      <xdr:rowOff>532816</xdr:rowOff>
    </xdr:to>
    <xdr:sp macro="" textlink="">
      <xdr:nvSpPr>
        <xdr:cNvPr id="17" name="Rectangle 16">
          <a:extLst>
            <a:ext uri="{FF2B5EF4-FFF2-40B4-BE49-F238E27FC236}">
              <a16:creationId xmlns:a16="http://schemas.microsoft.com/office/drawing/2014/main" id="{06931394-9586-400F-8DDA-7D7A5206B826}"/>
            </a:ext>
          </a:extLst>
        </xdr:cNvPr>
        <xdr:cNvSpPr/>
      </xdr:nvSpPr>
      <xdr:spPr>
        <a:xfrm>
          <a:off x="1881822" y="7100432"/>
          <a:ext cx="9095649" cy="946551"/>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3600" u="sng">
              <a:solidFill>
                <a:srgbClr val="FF0000"/>
              </a:solidFill>
            </a:rPr>
            <a:t>ไม่ต้อง</a:t>
          </a:r>
          <a:r>
            <a:rPr lang="th-TH" sz="3600">
              <a:solidFill>
                <a:schemeClr val="tx1"/>
              </a:solidFill>
            </a:rPr>
            <a:t>กรอกสิ่งใด</a:t>
          </a:r>
          <a:r>
            <a:rPr lang="th-TH" sz="3600" baseline="0">
              <a:solidFill>
                <a:schemeClr val="tx1"/>
              </a:solidFill>
            </a:rPr>
            <a:t> ทาง </a:t>
          </a:r>
          <a:r>
            <a:rPr lang="en-US" sz="3600" baseline="0">
              <a:solidFill>
                <a:schemeClr val="tx1"/>
              </a:solidFill>
            </a:rPr>
            <a:t>HR </a:t>
          </a:r>
          <a:r>
            <a:rPr lang="th-TH" sz="3600" baseline="0">
              <a:solidFill>
                <a:schemeClr val="tx1"/>
              </a:solidFill>
            </a:rPr>
            <a:t>กำหนดไว้ให้แล้ว</a:t>
          </a:r>
          <a:endParaRPr lang="en-US" sz="3600">
            <a:solidFill>
              <a:schemeClr val="tx1"/>
            </a:solidFill>
          </a:endParaRPr>
        </a:p>
      </xdr:txBody>
    </xdr:sp>
    <xdr:clientData/>
  </xdr:twoCellAnchor>
  <xdr:twoCellAnchor>
    <xdr:from>
      <xdr:col>5</xdr:col>
      <xdr:colOff>1193091</xdr:colOff>
      <xdr:row>18</xdr:row>
      <xdr:rowOff>683847</xdr:rowOff>
    </xdr:from>
    <xdr:to>
      <xdr:col>14</xdr:col>
      <xdr:colOff>284656</xdr:colOff>
      <xdr:row>20</xdr:row>
      <xdr:rowOff>97694</xdr:rowOff>
    </xdr:to>
    <xdr:sp macro="" textlink="">
      <xdr:nvSpPr>
        <xdr:cNvPr id="20" name="Rectangle 19">
          <a:extLst>
            <a:ext uri="{FF2B5EF4-FFF2-40B4-BE49-F238E27FC236}">
              <a16:creationId xmlns:a16="http://schemas.microsoft.com/office/drawing/2014/main" id="{2E80EA0E-804C-476B-B3B0-D802BF2CBF45}"/>
            </a:ext>
          </a:extLst>
        </xdr:cNvPr>
        <xdr:cNvSpPr/>
      </xdr:nvSpPr>
      <xdr:spPr>
        <a:xfrm>
          <a:off x="6951884" y="11150399"/>
          <a:ext cx="11922944" cy="946605"/>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3600">
              <a:solidFill>
                <a:schemeClr val="tx1"/>
              </a:solidFill>
            </a:rPr>
            <a:t>แสดงผลอัตโนมัติ</a:t>
          </a:r>
          <a:r>
            <a:rPr lang="th-TH" sz="3600" baseline="0">
              <a:solidFill>
                <a:schemeClr val="tx1"/>
              </a:solidFill>
            </a:rPr>
            <a:t> เมื่อกรอก "ระดับเกรด" ตามขั้นตอนที่ </a:t>
          </a:r>
          <a:r>
            <a:rPr lang="en-US" sz="3600" baseline="0">
              <a:solidFill>
                <a:schemeClr val="tx1"/>
              </a:solidFill>
            </a:rPr>
            <a:t>1</a:t>
          </a:r>
          <a:endParaRPr lang="en-US" sz="3600">
            <a:solidFill>
              <a:schemeClr val="tx1"/>
            </a:solidFill>
          </a:endParaRPr>
        </a:p>
      </xdr:txBody>
    </xdr:sp>
    <xdr:clientData/>
  </xdr:twoCellAnchor>
  <xdr:twoCellAnchor>
    <xdr:from>
      <xdr:col>4</xdr:col>
      <xdr:colOff>608612</xdr:colOff>
      <xdr:row>17</xdr:row>
      <xdr:rowOff>43793</xdr:rowOff>
    </xdr:from>
    <xdr:to>
      <xdr:col>5</xdr:col>
      <xdr:colOff>1064509</xdr:colOff>
      <xdr:row>22</xdr:row>
      <xdr:rowOff>629947</xdr:rowOff>
    </xdr:to>
    <xdr:sp macro="" textlink="">
      <xdr:nvSpPr>
        <xdr:cNvPr id="21" name="Left Brace 20">
          <a:extLst>
            <a:ext uri="{FF2B5EF4-FFF2-40B4-BE49-F238E27FC236}">
              <a16:creationId xmlns:a16="http://schemas.microsoft.com/office/drawing/2014/main" id="{69F02BC9-62D5-4641-89F9-409C14448AD3}"/>
            </a:ext>
          </a:extLst>
        </xdr:cNvPr>
        <xdr:cNvSpPr/>
      </xdr:nvSpPr>
      <xdr:spPr>
        <a:xfrm flipH="1">
          <a:off x="5228784" y="9743965"/>
          <a:ext cx="1594518" cy="4418051"/>
        </a:xfrm>
        <a:prstGeom prst="leftBrace">
          <a:avLst>
            <a:gd name="adj1" fmla="val 60068"/>
            <a:gd name="adj2" fmla="val 43358"/>
          </a:avLst>
        </a:prstGeom>
        <a:ln w="76200">
          <a:solidFill>
            <a:srgbClr val="C0000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35</xdr:col>
      <xdr:colOff>1261119</xdr:colOff>
      <xdr:row>14</xdr:row>
      <xdr:rowOff>723987</xdr:rowOff>
    </xdr:from>
    <xdr:to>
      <xdr:col>37</xdr:col>
      <xdr:colOff>153276</xdr:colOff>
      <xdr:row>15</xdr:row>
      <xdr:rowOff>635001</xdr:rowOff>
    </xdr:to>
    <xdr:sp macro="" textlink="">
      <xdr:nvSpPr>
        <xdr:cNvPr id="25" name="TextBox 24">
          <a:extLst>
            <a:ext uri="{FF2B5EF4-FFF2-40B4-BE49-F238E27FC236}">
              <a16:creationId xmlns:a16="http://schemas.microsoft.com/office/drawing/2014/main" id="{4007DAD6-C4EE-4BEA-96D0-760E46E23706}"/>
            </a:ext>
          </a:extLst>
        </xdr:cNvPr>
        <xdr:cNvSpPr txBox="1"/>
      </xdr:nvSpPr>
      <xdr:spPr>
        <a:xfrm flipH="1">
          <a:off x="47506636" y="6942608"/>
          <a:ext cx="1322674" cy="1115324"/>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16</a:t>
          </a:r>
        </a:p>
      </xdr:txBody>
    </xdr:sp>
    <xdr:clientData/>
  </xdr:twoCellAnchor>
  <xdr:twoCellAnchor>
    <xdr:from>
      <xdr:col>45</xdr:col>
      <xdr:colOff>249404</xdr:colOff>
      <xdr:row>13</xdr:row>
      <xdr:rowOff>144856</xdr:rowOff>
    </xdr:from>
    <xdr:to>
      <xdr:col>87</xdr:col>
      <xdr:colOff>635000</xdr:colOff>
      <xdr:row>17</xdr:row>
      <xdr:rowOff>30880</xdr:rowOff>
    </xdr:to>
    <xdr:sp macro="" textlink="">
      <xdr:nvSpPr>
        <xdr:cNvPr id="33" name="Rectangle 32">
          <a:extLst>
            <a:ext uri="{FF2B5EF4-FFF2-40B4-BE49-F238E27FC236}">
              <a16:creationId xmlns:a16="http://schemas.microsoft.com/office/drawing/2014/main" id="{6F18A5DD-E8E8-43C4-B9EB-A930E2C4CDA2}"/>
            </a:ext>
          </a:extLst>
        </xdr:cNvPr>
        <xdr:cNvSpPr/>
      </xdr:nvSpPr>
      <xdr:spPr>
        <a:xfrm>
          <a:off x="58034404" y="5115373"/>
          <a:ext cx="26245424" cy="4615679"/>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aseline="0">
              <a:solidFill>
                <a:schemeClr val="tx1"/>
              </a:solidFill>
              <a:latin typeface="+mn-lt"/>
              <a:ea typeface="+mn-ea"/>
              <a:cs typeface="+mn-cs"/>
            </a:rPr>
            <a:t>15.          </a:t>
          </a:r>
          <a:r>
            <a:rPr lang="th-TH" sz="3600" baseline="0">
              <a:solidFill>
                <a:schemeClr val="tx1"/>
              </a:solidFill>
              <a:latin typeface="+mn-lt"/>
              <a:ea typeface="+mn-ea"/>
              <a:cs typeface="+mn-cs"/>
            </a:rPr>
            <a:t>เมื่อกำหนด ตั้งแต่ </a:t>
          </a:r>
          <a:r>
            <a:rPr lang="en-US" sz="3600" baseline="0">
              <a:solidFill>
                <a:schemeClr val="tx1"/>
              </a:solidFill>
              <a:latin typeface="+mn-lt"/>
              <a:ea typeface="+mn-ea"/>
              <a:cs typeface="+mn-cs"/>
            </a:rPr>
            <a:t>                       </a:t>
          </a:r>
          <a:r>
            <a:rPr lang="th-TH" sz="3600" baseline="0">
              <a:solidFill>
                <a:schemeClr val="tx1"/>
              </a:solidFill>
              <a:latin typeface="+mn-lt"/>
              <a:ea typeface="+mn-ea"/>
              <a:cs typeface="+mn-cs"/>
            </a:rPr>
            <a:t>เสร็จเรียบร้อยแล้ว </a:t>
          </a:r>
          <a:r>
            <a:rPr lang="th-TH" sz="3600" b="1" u="sng" baseline="0">
              <a:solidFill>
                <a:srgbClr val="FF0000"/>
              </a:solidFill>
              <a:latin typeface="+mn-lt"/>
              <a:ea typeface="+mn-ea"/>
              <a:cs typeface="+mn-cs"/>
            </a:rPr>
            <a:t>หัวหน้างาน/ ผู้จัดการ จะทำการนัดเพื่อพูดคุยเพื่อตกลงร่วมกันในหัวข้อ </a:t>
          </a:r>
          <a:r>
            <a:rPr lang="en-US" sz="3600" b="1" u="sng" baseline="0">
              <a:solidFill>
                <a:srgbClr val="FF0000"/>
              </a:solidFill>
              <a:latin typeface="+mn-lt"/>
              <a:ea typeface="+mn-ea"/>
              <a:cs typeface="+mn-cs"/>
            </a:rPr>
            <a:t>MBO</a:t>
          </a:r>
          <a:r>
            <a:rPr lang="th-TH" sz="3600" b="1" u="sng" baseline="0">
              <a:solidFill>
                <a:srgbClr val="FF0000"/>
              </a:solidFill>
              <a:latin typeface="+mn-lt"/>
              <a:ea typeface="+mn-ea"/>
              <a:cs typeface="+mn-cs"/>
            </a:rPr>
            <a:t> และ ตัวชี้วัด </a:t>
          </a:r>
          <a:r>
            <a:rPr lang="en-US" sz="3600" b="1" u="sng" baseline="0">
              <a:solidFill>
                <a:srgbClr val="FF0000"/>
              </a:solidFill>
              <a:latin typeface="+mn-lt"/>
              <a:ea typeface="+mn-ea"/>
              <a:cs typeface="+mn-cs"/>
            </a:rPr>
            <a:t>5 </a:t>
          </a:r>
          <a:r>
            <a:rPr lang="th-TH" sz="3600" b="1" u="sng" baseline="0">
              <a:solidFill>
                <a:srgbClr val="FF0000"/>
              </a:solidFill>
              <a:latin typeface="+mn-lt"/>
              <a:ea typeface="+mn-ea"/>
              <a:cs typeface="+mn-cs"/>
            </a:rPr>
            <a:t>ระดับ</a:t>
          </a:r>
          <a:r>
            <a:rPr lang="en-US" sz="3600" b="1" u="sng" baseline="0">
              <a:solidFill>
                <a:srgbClr val="FF0000"/>
              </a:solidFill>
              <a:latin typeface="+mn-lt"/>
              <a:ea typeface="+mn-ea"/>
              <a:cs typeface="+mn-cs"/>
            </a:rPr>
            <a:t> </a:t>
          </a:r>
          <a:r>
            <a:rPr lang="th-TH" sz="3600" baseline="0">
              <a:solidFill>
                <a:schemeClr val="tx1"/>
              </a:solidFill>
              <a:latin typeface="+mn-lt"/>
              <a:ea typeface="+mn-ea"/>
              <a:cs typeface="+mn-cs"/>
            </a:rPr>
            <a:t>ที่จะนำมาประเมินในปีนั้นๆ  เมื่อตกลงร่วมกันได้แล้วจะต้องลงลายมื่อชื่อร่วมกันระหว่างพนักงาน และผู้ประเมินคนที่ </a:t>
          </a:r>
          <a:r>
            <a:rPr lang="en-US" sz="3600" baseline="0">
              <a:solidFill>
                <a:schemeClr val="tx1"/>
              </a:solidFill>
              <a:latin typeface="+mn-lt"/>
              <a:ea typeface="+mn-ea"/>
              <a:cs typeface="+mn-cs"/>
            </a:rPr>
            <a:t>1</a:t>
          </a:r>
          <a:r>
            <a:rPr lang="th-TH" sz="3600" baseline="0">
              <a:solidFill>
                <a:schemeClr val="tx1"/>
              </a:solidFill>
              <a:latin typeface="+mn-lt"/>
              <a:ea typeface="+mn-ea"/>
              <a:cs typeface="+mn-cs"/>
            </a:rPr>
            <a:t> และผู้ประเมินคนที่ </a:t>
          </a:r>
          <a:r>
            <a:rPr lang="en-US" sz="3600" baseline="0">
              <a:solidFill>
                <a:schemeClr val="tx1"/>
              </a:solidFill>
              <a:latin typeface="+mn-lt"/>
              <a:ea typeface="+mn-ea"/>
              <a:cs typeface="+mn-cs"/>
            </a:rPr>
            <a:t>2</a:t>
          </a:r>
          <a:r>
            <a:rPr lang="th-TH" sz="3600" baseline="0">
              <a:solidFill>
                <a:schemeClr val="tx1"/>
              </a:solidFill>
              <a:latin typeface="+mn-lt"/>
              <a:ea typeface="+mn-ea"/>
              <a:cs typeface="+mn-cs"/>
            </a:rPr>
            <a:t> </a:t>
          </a:r>
          <a:r>
            <a:rPr lang="en-US" sz="3600" b="1" u="sng" baseline="0">
              <a:solidFill>
                <a:srgbClr val="FF0000"/>
              </a:solidFill>
              <a:latin typeface="+mn-lt"/>
              <a:ea typeface="+mn-ea"/>
              <a:cs typeface="+mn-cs"/>
            </a:rPr>
            <a:t>:  </a:t>
          </a:r>
          <a:r>
            <a:rPr lang="th-TH" sz="3600" b="1" u="sng" baseline="0">
              <a:solidFill>
                <a:srgbClr val="FF0000"/>
              </a:solidFill>
              <a:latin typeface="+mn-lt"/>
              <a:ea typeface="+mn-ea"/>
              <a:cs typeface="+mn-cs"/>
            </a:rPr>
            <a:t>การกำหนด </a:t>
          </a:r>
          <a:r>
            <a:rPr lang="en-US" sz="3600" b="1" u="sng" baseline="0">
              <a:solidFill>
                <a:srgbClr val="FF0000"/>
              </a:solidFill>
              <a:latin typeface="+mn-lt"/>
              <a:ea typeface="+mn-ea"/>
              <a:cs typeface="+mn-cs"/>
            </a:rPr>
            <a:t>MBO</a:t>
          </a:r>
          <a:r>
            <a:rPr lang="th-TH" sz="3600" b="1" u="sng" baseline="0">
              <a:solidFill>
                <a:srgbClr val="FF0000"/>
              </a:solidFill>
              <a:latin typeface="+mn-lt"/>
              <a:ea typeface="+mn-ea"/>
              <a:cs typeface="+mn-cs"/>
            </a:rPr>
            <a:t> จะดำเนินการในช่วงต้นปี (มกราคม)</a:t>
          </a:r>
        </a:p>
        <a:p>
          <a:pPr algn="l"/>
          <a:endParaRPr lang="th-TH" sz="3600" b="1" u="sng" baseline="0">
            <a:solidFill>
              <a:srgbClr val="FF0000"/>
            </a:solidFill>
            <a:latin typeface="+mn-lt"/>
            <a:ea typeface="+mn-ea"/>
            <a:cs typeface="+mn-cs"/>
          </a:endParaRPr>
        </a:p>
        <a:p>
          <a:pPr algn="l"/>
          <a:r>
            <a:rPr lang="en-US" sz="3600" baseline="0">
              <a:solidFill>
                <a:schemeClr val="tx1"/>
              </a:solidFill>
              <a:latin typeface="+mn-lt"/>
              <a:ea typeface="+mn-ea"/>
              <a:cs typeface="+mn-cs"/>
            </a:rPr>
            <a:t>1.4          </a:t>
          </a:r>
          <a:r>
            <a:rPr lang="th-TH" sz="3600" baseline="0">
              <a:solidFill>
                <a:schemeClr val="tx1"/>
              </a:solidFill>
              <a:latin typeface="+mn-lt"/>
              <a:ea typeface="+mn-ea"/>
              <a:cs typeface="+mn-cs"/>
            </a:rPr>
            <a:t>หากในช่วงการทบทวนความสำเร็จในช่วงประเมินผลกลางปี พนักงาน หรือ หัวหน้างานซึ่งเป็นผู้ประเมิน ต้องการเพิ่ม / หรือปรับแก้ไข </a:t>
          </a:r>
          <a:r>
            <a:rPr lang="en-US" sz="3600" baseline="0">
              <a:solidFill>
                <a:schemeClr val="tx1"/>
              </a:solidFill>
              <a:latin typeface="+mn-lt"/>
              <a:ea typeface="+mn-ea"/>
              <a:cs typeface="+mn-cs"/>
            </a:rPr>
            <a:t>MBO </a:t>
          </a:r>
          <a:r>
            <a:rPr lang="th-TH" sz="3600" baseline="0">
              <a:solidFill>
                <a:schemeClr val="tx1"/>
              </a:solidFill>
              <a:latin typeface="+mn-lt"/>
              <a:ea typeface="+mn-ea"/>
              <a:cs typeface="+mn-cs"/>
            </a:rPr>
            <a:t>หรือตัวชี้วัด </a:t>
          </a:r>
          <a:r>
            <a:rPr lang="en-US" sz="3600" baseline="0">
              <a:solidFill>
                <a:schemeClr val="tx1"/>
              </a:solidFill>
              <a:latin typeface="+mn-lt"/>
              <a:ea typeface="+mn-ea"/>
              <a:cs typeface="+mn-cs"/>
            </a:rPr>
            <a:t>5 </a:t>
          </a:r>
          <a:r>
            <a:rPr lang="th-TH" sz="3600" baseline="0">
              <a:solidFill>
                <a:schemeClr val="tx1"/>
              </a:solidFill>
              <a:latin typeface="+mn-lt"/>
              <a:ea typeface="+mn-ea"/>
              <a:cs typeface="+mn-cs"/>
            </a:rPr>
            <a:t>ระดับ ให้ท้าทายมากขึ้น สามารถตกลงร่วมกันได้ โดยจะต้องลงลายมื่อชื่อร่วมกันระหว่างพนักงาน และผู้ประเมินคนที่ </a:t>
          </a:r>
          <a:r>
            <a:rPr lang="en-US" sz="3600" baseline="0">
              <a:solidFill>
                <a:schemeClr val="tx1"/>
              </a:solidFill>
              <a:latin typeface="+mn-lt"/>
              <a:ea typeface="+mn-ea"/>
              <a:cs typeface="+mn-cs"/>
            </a:rPr>
            <a:t>1</a:t>
          </a:r>
          <a:r>
            <a:rPr lang="th-TH" sz="3600" baseline="0">
              <a:solidFill>
                <a:schemeClr val="tx1"/>
              </a:solidFill>
              <a:latin typeface="+mn-lt"/>
              <a:ea typeface="+mn-ea"/>
              <a:cs typeface="+mn-cs"/>
            </a:rPr>
            <a:t> และผู้ประเมินคนที่ </a:t>
          </a:r>
          <a:r>
            <a:rPr lang="en-US" sz="3600" baseline="0">
              <a:solidFill>
                <a:schemeClr val="tx1"/>
              </a:solidFill>
              <a:latin typeface="+mn-lt"/>
              <a:ea typeface="+mn-ea"/>
              <a:cs typeface="+mn-cs"/>
            </a:rPr>
            <a:t>2 </a:t>
          </a:r>
          <a:r>
            <a:rPr lang="en-US" sz="3600" b="1" i="0" u="none" baseline="0">
              <a:solidFill>
                <a:srgbClr val="FF0000"/>
              </a:solidFill>
              <a:latin typeface="+mn-lt"/>
              <a:ea typeface="+mn-ea"/>
              <a:cs typeface="+mn-cs"/>
            </a:rPr>
            <a:t> </a:t>
          </a:r>
          <a:r>
            <a:rPr lang="th-TH" sz="3600" b="0" i="0" u="none" baseline="0">
              <a:solidFill>
                <a:schemeClr val="tx1"/>
              </a:solidFill>
              <a:latin typeface="+mn-lt"/>
              <a:ea typeface="+mn-ea"/>
              <a:cs typeface="+mn-cs"/>
            </a:rPr>
            <a:t>ถ้าไม่มีให้เว้นว่างไว้ </a:t>
          </a:r>
          <a:r>
            <a:rPr lang="en-US" sz="3600" b="0" i="0" u="none" baseline="0">
              <a:solidFill>
                <a:schemeClr val="tx1"/>
              </a:solidFill>
              <a:latin typeface="+mn-lt"/>
              <a:ea typeface="+mn-ea"/>
              <a:cs typeface="+mn-cs"/>
            </a:rPr>
            <a:t>:</a:t>
          </a:r>
          <a:r>
            <a:rPr lang="th-TH" sz="3600" b="1" u="sng" baseline="0">
              <a:solidFill>
                <a:srgbClr val="FF0000"/>
              </a:solidFill>
              <a:latin typeface="+mn-lt"/>
              <a:ea typeface="+mn-ea"/>
              <a:cs typeface="+mn-cs"/>
            </a:rPr>
            <a:t> การแก้ไข เพิ่มเติม </a:t>
          </a:r>
          <a:r>
            <a:rPr lang="en-US" sz="3600" b="1" u="sng" baseline="0">
              <a:solidFill>
                <a:srgbClr val="FF0000"/>
              </a:solidFill>
              <a:latin typeface="+mn-lt"/>
              <a:ea typeface="+mn-ea"/>
              <a:cs typeface="+mn-cs"/>
            </a:rPr>
            <a:t>MBO </a:t>
          </a:r>
          <a:r>
            <a:rPr lang="th-TH" sz="3600" b="1" u="sng" baseline="0">
              <a:solidFill>
                <a:srgbClr val="FF0000"/>
              </a:solidFill>
              <a:latin typeface="+mn-lt"/>
              <a:ea typeface="+mn-ea"/>
              <a:cs typeface="+mn-cs"/>
            </a:rPr>
            <a:t>หรือตัวชี้วัดสามารถดำเนินการในช่วงกลางปี (มิถุนายน)</a:t>
          </a:r>
          <a:endParaRPr lang="en-US" sz="3600" b="1" u="sng" baseline="0">
            <a:solidFill>
              <a:srgbClr val="FF0000"/>
            </a:solidFill>
            <a:latin typeface="+mn-lt"/>
            <a:ea typeface="+mn-ea"/>
            <a:cs typeface="+mn-cs"/>
          </a:endParaRPr>
        </a:p>
      </xdr:txBody>
    </xdr:sp>
    <xdr:clientData/>
  </xdr:twoCellAnchor>
  <xdr:twoCellAnchor>
    <xdr:from>
      <xdr:col>45</xdr:col>
      <xdr:colOff>228068</xdr:colOff>
      <xdr:row>17</xdr:row>
      <xdr:rowOff>352589</xdr:rowOff>
    </xdr:from>
    <xdr:to>
      <xdr:col>87</xdr:col>
      <xdr:colOff>722585</xdr:colOff>
      <xdr:row>27</xdr:row>
      <xdr:rowOff>87586</xdr:rowOff>
    </xdr:to>
    <xdr:sp macro="" textlink="">
      <xdr:nvSpPr>
        <xdr:cNvPr id="44" name="Rectangle 43">
          <a:extLst>
            <a:ext uri="{FF2B5EF4-FFF2-40B4-BE49-F238E27FC236}">
              <a16:creationId xmlns:a16="http://schemas.microsoft.com/office/drawing/2014/main" id="{C160C760-6ACA-41C8-B9B4-8157E46AB3C8}"/>
            </a:ext>
          </a:extLst>
        </xdr:cNvPr>
        <xdr:cNvSpPr/>
      </xdr:nvSpPr>
      <xdr:spPr>
        <a:xfrm>
          <a:off x="58013068" y="10052761"/>
          <a:ext cx="26354345" cy="5953618"/>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aseline="0">
              <a:solidFill>
                <a:schemeClr val="tx1"/>
              </a:solidFill>
              <a:latin typeface="+mn-lt"/>
              <a:ea typeface="+mn-ea"/>
              <a:cs typeface="+mn-cs"/>
            </a:rPr>
            <a:t>1.5        </a:t>
          </a:r>
          <a:r>
            <a:rPr lang="th-TH" sz="3600" baseline="0">
              <a:solidFill>
                <a:schemeClr val="tx1"/>
              </a:solidFill>
              <a:latin typeface="+mn-lt"/>
              <a:ea typeface="+mn-ea"/>
              <a:cs typeface="+mn-cs"/>
            </a:rPr>
            <a:t>ลงลายมื่อชื่อร่วมกันระหว่างพนักงาน และผู้ประเมินคนที่ </a:t>
          </a:r>
          <a:r>
            <a:rPr lang="en-US" sz="3600" baseline="0">
              <a:solidFill>
                <a:schemeClr val="tx1"/>
              </a:solidFill>
              <a:latin typeface="+mn-lt"/>
              <a:ea typeface="+mn-ea"/>
              <a:cs typeface="+mn-cs"/>
            </a:rPr>
            <a:t>1</a:t>
          </a:r>
          <a:r>
            <a:rPr lang="th-TH" sz="3600" baseline="0">
              <a:solidFill>
                <a:schemeClr val="tx1"/>
              </a:solidFill>
              <a:latin typeface="+mn-lt"/>
              <a:ea typeface="+mn-ea"/>
              <a:cs typeface="+mn-cs"/>
            </a:rPr>
            <a:t> และผู้ประเมินคนที่ </a:t>
          </a:r>
          <a:r>
            <a:rPr lang="en-US" sz="3600" baseline="0">
              <a:solidFill>
                <a:schemeClr val="tx1"/>
              </a:solidFill>
              <a:latin typeface="+mn-lt"/>
              <a:ea typeface="+mn-ea"/>
              <a:cs typeface="+mn-cs"/>
            </a:rPr>
            <a:t>2 </a:t>
          </a:r>
          <a:r>
            <a:rPr lang="th-TH" sz="3600" b="1" u="sng" baseline="0">
              <a:solidFill>
                <a:srgbClr val="FF0000"/>
              </a:solidFill>
              <a:latin typeface="+mn-lt"/>
              <a:ea typeface="+mn-ea"/>
              <a:cs typeface="+mn-cs"/>
            </a:rPr>
            <a:t>เพื่อรับทราบผลการประเมินช่วงกลางปี</a:t>
          </a:r>
          <a:r>
            <a:rPr lang="th-TH" sz="3600" baseline="0">
              <a:solidFill>
                <a:schemeClr val="tx1"/>
              </a:solidFill>
              <a:latin typeface="+mn-lt"/>
              <a:ea typeface="+mn-ea"/>
              <a:cs typeface="+mn-cs"/>
            </a:rPr>
            <a:t> </a:t>
          </a:r>
          <a:r>
            <a:rPr lang="th-TH" sz="3600" baseline="0">
              <a:solidFill>
                <a:srgbClr val="0070C0"/>
              </a:solidFill>
              <a:latin typeface="+mn-lt"/>
              <a:ea typeface="+mn-ea"/>
              <a:cs typeface="+mn-cs"/>
            </a:rPr>
            <a:t>ไม่ว่าจะเห็นด้วยหรือไม่ก็ตาม เป็นการยืนยันว่า ได้มีการพูดคุยชี้แจงแล้ว</a:t>
          </a:r>
        </a:p>
        <a:p>
          <a:pPr algn="l"/>
          <a:endParaRPr lang="th-TH" sz="3600" b="1" u="sng" baseline="0">
            <a:solidFill>
              <a:schemeClr val="tx1"/>
            </a:solidFill>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3600" baseline="0">
              <a:solidFill>
                <a:schemeClr val="tx1"/>
              </a:solidFill>
              <a:latin typeface="+mn-lt"/>
              <a:ea typeface="+mn-ea"/>
              <a:cs typeface="+mn-cs"/>
            </a:rPr>
            <a:t>2.4         </a:t>
          </a:r>
          <a:r>
            <a:rPr lang="th-TH" sz="3600" baseline="0">
              <a:solidFill>
                <a:schemeClr val="tx1"/>
              </a:solidFill>
              <a:effectLst/>
              <a:latin typeface="+mn-lt"/>
              <a:ea typeface="+mn-ea"/>
              <a:cs typeface="+mn-cs"/>
            </a:rPr>
            <a:t>ลงลายมื่อชื่อร่วมกันระหว่างพนักงาน และผู้ประเมินคนที่ </a:t>
          </a:r>
          <a:r>
            <a:rPr lang="en-US" sz="3600" baseline="0">
              <a:solidFill>
                <a:schemeClr val="tx1"/>
              </a:solidFill>
              <a:effectLst/>
              <a:latin typeface="+mn-lt"/>
              <a:ea typeface="+mn-ea"/>
              <a:cs typeface="+mn-cs"/>
            </a:rPr>
            <a:t>1</a:t>
          </a:r>
          <a:r>
            <a:rPr lang="th-TH" sz="3600" baseline="0">
              <a:solidFill>
                <a:schemeClr val="tx1"/>
              </a:solidFill>
              <a:effectLst/>
              <a:latin typeface="+mn-lt"/>
              <a:ea typeface="+mn-ea"/>
              <a:cs typeface="+mn-cs"/>
            </a:rPr>
            <a:t> และผู้ประเมินคนที่ </a:t>
          </a:r>
          <a:r>
            <a:rPr lang="en-US" sz="3600" b="1" u="sng" baseline="0">
              <a:solidFill>
                <a:srgbClr val="FF0000"/>
              </a:solidFill>
              <a:effectLst/>
              <a:latin typeface="+mn-lt"/>
              <a:ea typeface="+mn-ea"/>
              <a:cs typeface="+mn-cs"/>
            </a:rPr>
            <a:t>2 </a:t>
          </a:r>
          <a:r>
            <a:rPr lang="th-TH" sz="3600" b="1" u="sng" baseline="0">
              <a:solidFill>
                <a:srgbClr val="FF0000"/>
              </a:solidFill>
              <a:effectLst/>
              <a:latin typeface="+mn-lt"/>
              <a:ea typeface="+mn-ea"/>
              <a:cs typeface="+mn-cs"/>
            </a:rPr>
            <a:t>เพื่อรับทราบผลการประเมินช่วงปลายปี</a:t>
          </a:r>
          <a:r>
            <a:rPr lang="th-TH" sz="3600" baseline="0">
              <a:solidFill>
                <a:schemeClr val="tx1"/>
              </a:solidFill>
              <a:effectLst/>
              <a:latin typeface="+mn-lt"/>
              <a:ea typeface="+mn-ea"/>
              <a:cs typeface="+mn-cs"/>
            </a:rPr>
            <a:t> </a:t>
          </a:r>
          <a:r>
            <a:rPr lang="th-TH" sz="3600" baseline="0">
              <a:solidFill>
                <a:srgbClr val="0070C0"/>
              </a:solidFill>
              <a:effectLst/>
              <a:latin typeface="+mn-lt"/>
              <a:ea typeface="+mn-ea"/>
              <a:cs typeface="+mn-cs"/>
            </a:rPr>
            <a:t>ไม่ว่าจะเห็นด้วยหรือไม่ก็ตาม เป็นการยืนยันว่า ได้มีการพูดคุยชี้แจงแล้ว</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3600" b="1" i="0" u="none" baseline="0">
            <a:solidFill>
              <a:srgbClr val="7030A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3600" b="1" i="0" u="none" baseline="0">
              <a:solidFill>
                <a:schemeClr val="tx1"/>
              </a:solidFill>
              <a:effectLst/>
              <a:latin typeface="+mn-lt"/>
              <a:ea typeface="+mn-ea"/>
              <a:cs typeface="+mn-cs"/>
            </a:rPr>
            <a:t>1.5 </a:t>
          </a:r>
          <a:r>
            <a:rPr lang="th-TH" sz="3600" b="1" i="0" u="none" baseline="0">
              <a:solidFill>
                <a:schemeClr val="tx1"/>
              </a:solidFill>
              <a:effectLst/>
              <a:latin typeface="+mn-lt"/>
              <a:ea typeface="+mn-ea"/>
              <a:cs typeface="+mn-cs"/>
            </a:rPr>
            <a:t>หรือ </a:t>
          </a:r>
          <a:r>
            <a:rPr lang="en-US" sz="3600" b="1" i="0" u="none" baseline="0">
              <a:solidFill>
                <a:schemeClr val="tx1"/>
              </a:solidFill>
              <a:effectLst/>
              <a:latin typeface="+mn-lt"/>
              <a:ea typeface="+mn-ea"/>
              <a:cs typeface="+mn-cs"/>
            </a:rPr>
            <a:t>2.4 </a:t>
          </a:r>
          <a:r>
            <a:rPr lang="th-TH" sz="3600" b="1" i="0" u="none" baseline="0">
              <a:solidFill>
                <a:schemeClr val="tx1"/>
              </a:solidFill>
              <a:effectLst/>
              <a:latin typeface="+mn-lt"/>
              <a:ea typeface="+mn-ea"/>
              <a:cs typeface="+mn-cs"/>
            </a:rPr>
            <a:t>จะกระทำก็ต่อเมื่อ หัวหน้างานเรียกมาพูดคุยเพื่อแจ้งผลการประเมิน </a:t>
          </a:r>
          <a:r>
            <a:rPr lang="th-TH" sz="4000" b="1" i="0" u="sng" baseline="0">
              <a:solidFill>
                <a:srgbClr val="FF0000"/>
              </a:solidFill>
              <a:effectLst/>
              <a:latin typeface="+mn-lt"/>
              <a:ea typeface="+mn-ea"/>
              <a:cs typeface="+mn-cs"/>
            </a:rPr>
            <a:t>รอผลสุดท้ายจากแผนก </a:t>
          </a:r>
          <a:r>
            <a:rPr lang="en-US" sz="4000" b="1" i="0" u="sng" baseline="0">
              <a:solidFill>
                <a:srgbClr val="FF0000"/>
              </a:solidFill>
              <a:effectLst/>
              <a:latin typeface="+mn-lt"/>
              <a:ea typeface="+mn-ea"/>
              <a:cs typeface="+mn-cs"/>
            </a:rPr>
            <a:t>HR </a:t>
          </a:r>
          <a:r>
            <a:rPr lang="th-TH" sz="3600" b="1" i="0" u="none" baseline="0">
              <a:solidFill>
                <a:schemeClr val="tx1"/>
              </a:solidFill>
              <a:effectLst/>
              <a:latin typeface="+mn-lt"/>
              <a:ea typeface="+mn-ea"/>
              <a:cs typeface="+mn-cs"/>
            </a:rPr>
            <a:t>(ผลการประเมินจากระดับ </a:t>
          </a:r>
          <a:r>
            <a:rPr lang="en-US" sz="3600" b="1" i="0" u="none" baseline="0">
              <a:solidFill>
                <a:schemeClr val="tx1"/>
              </a:solidFill>
              <a:effectLst/>
              <a:latin typeface="+mn-lt"/>
              <a:ea typeface="+mn-ea"/>
              <a:cs typeface="+mn-cs"/>
            </a:rPr>
            <a:t>Division </a:t>
          </a:r>
          <a:r>
            <a:rPr lang="th-TH" sz="3600" b="1" i="0" u="none" baseline="0">
              <a:solidFill>
                <a:schemeClr val="tx1"/>
              </a:solidFill>
              <a:effectLst/>
              <a:latin typeface="+mn-lt"/>
              <a:ea typeface="+mn-ea"/>
              <a:cs typeface="+mn-cs"/>
            </a:rPr>
            <a:t>ไม่ใช่ผลการประเมินสุดท้าย)</a:t>
          </a:r>
          <a:endParaRPr lang="en-US" sz="3600" b="1" i="0" u="none" baseline="0">
            <a:solidFill>
              <a:schemeClr val="tx1"/>
            </a:solidFill>
            <a:latin typeface="+mn-lt"/>
            <a:ea typeface="+mn-ea"/>
            <a:cs typeface="+mn-cs"/>
          </a:endParaRPr>
        </a:p>
      </xdr:txBody>
    </xdr:sp>
    <xdr:clientData/>
  </xdr:twoCellAnchor>
  <xdr:twoCellAnchor>
    <xdr:from>
      <xdr:col>11</xdr:col>
      <xdr:colOff>919655</xdr:colOff>
      <xdr:row>23</xdr:row>
      <xdr:rowOff>337433</xdr:rowOff>
    </xdr:from>
    <xdr:to>
      <xdr:col>12</xdr:col>
      <xdr:colOff>917810</xdr:colOff>
      <xdr:row>26</xdr:row>
      <xdr:rowOff>87584</xdr:rowOff>
    </xdr:to>
    <xdr:sp macro="" textlink="">
      <xdr:nvSpPr>
        <xdr:cNvPr id="46" name="TextBox 45">
          <a:extLst>
            <a:ext uri="{FF2B5EF4-FFF2-40B4-BE49-F238E27FC236}">
              <a16:creationId xmlns:a16="http://schemas.microsoft.com/office/drawing/2014/main" id="{3E16783B-4DCD-4B59-83A0-DB6B74666F94}"/>
            </a:ext>
          </a:extLst>
        </xdr:cNvPr>
        <xdr:cNvSpPr txBox="1"/>
      </xdr:nvSpPr>
      <xdr:spPr>
        <a:xfrm flipH="1">
          <a:off x="15371379" y="13760019"/>
          <a:ext cx="1377638" cy="998255"/>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u="none">
              <a:solidFill>
                <a:schemeClr val="tx1"/>
              </a:solidFill>
            </a:rPr>
            <a:t>5</a:t>
          </a:r>
        </a:p>
      </xdr:txBody>
    </xdr:sp>
    <xdr:clientData/>
  </xdr:twoCellAnchor>
  <xdr:twoCellAnchor>
    <xdr:from>
      <xdr:col>12</xdr:col>
      <xdr:colOff>1108313</xdr:colOff>
      <xdr:row>23</xdr:row>
      <xdr:rowOff>43794</xdr:rowOff>
    </xdr:from>
    <xdr:to>
      <xdr:col>17</xdr:col>
      <xdr:colOff>397505</xdr:colOff>
      <xdr:row>26</xdr:row>
      <xdr:rowOff>328448</xdr:rowOff>
    </xdr:to>
    <xdr:sp macro="" textlink="">
      <xdr:nvSpPr>
        <xdr:cNvPr id="47" name="Rectangle 46">
          <a:extLst>
            <a:ext uri="{FF2B5EF4-FFF2-40B4-BE49-F238E27FC236}">
              <a16:creationId xmlns:a16="http://schemas.microsoft.com/office/drawing/2014/main" id="{67D0F866-DC75-4D5E-B0FB-35DC0CA740DA}"/>
            </a:ext>
          </a:extLst>
        </xdr:cNvPr>
        <xdr:cNvSpPr/>
      </xdr:nvSpPr>
      <xdr:spPr>
        <a:xfrm>
          <a:off x="16939520" y="13466380"/>
          <a:ext cx="5858157" cy="1532758"/>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2400" b="1" u="sng">
              <a:solidFill>
                <a:schemeClr val="tx1"/>
              </a:solidFill>
            </a:rPr>
            <a:t>น้ำหนักรวมของ</a:t>
          </a:r>
          <a:r>
            <a:rPr lang="th-TH" sz="2400" b="1" u="sng" baseline="0">
              <a:solidFill>
                <a:schemeClr val="tx1"/>
              </a:solidFill>
            </a:rPr>
            <a:t> </a:t>
          </a:r>
          <a:r>
            <a:rPr lang="en-US" sz="2400" b="1" u="sng" baseline="0">
              <a:solidFill>
                <a:schemeClr val="tx1"/>
              </a:solidFill>
            </a:rPr>
            <a:t>MBO </a:t>
          </a:r>
          <a:r>
            <a:rPr lang="th-TH" sz="2400" b="1" u="sng" baseline="0">
              <a:solidFill>
                <a:schemeClr val="tx1"/>
              </a:solidFill>
            </a:rPr>
            <a:t>แบบริเริ่ม/ ปรับปรุง </a:t>
          </a:r>
          <a:r>
            <a:rPr lang="th-TH" sz="2400">
              <a:solidFill>
                <a:schemeClr val="tx1"/>
              </a:solidFill>
            </a:rPr>
            <a:t>แสดงผลอัตโนมัติ</a:t>
          </a:r>
          <a:r>
            <a:rPr lang="th-TH" sz="2400" baseline="0">
              <a:solidFill>
                <a:schemeClr val="tx1"/>
              </a:solidFill>
            </a:rPr>
            <a:t> เมื่อกรอก "ระดับเกรด" ตามขั้นตอนที่ </a:t>
          </a:r>
          <a:r>
            <a:rPr lang="en-US" sz="2400" baseline="0">
              <a:solidFill>
                <a:schemeClr val="tx1"/>
              </a:solidFill>
            </a:rPr>
            <a:t>1</a:t>
          </a:r>
          <a:endParaRPr lang="en-US" sz="2400">
            <a:solidFill>
              <a:schemeClr val="tx1"/>
            </a:solidFill>
          </a:endParaRPr>
        </a:p>
      </xdr:txBody>
    </xdr:sp>
    <xdr:clientData/>
  </xdr:twoCellAnchor>
  <xdr:twoCellAnchor>
    <xdr:from>
      <xdr:col>2</xdr:col>
      <xdr:colOff>445424</xdr:colOff>
      <xdr:row>33</xdr:row>
      <xdr:rowOff>18612</xdr:rowOff>
    </xdr:from>
    <xdr:to>
      <xdr:col>3</xdr:col>
      <xdr:colOff>342680</xdr:colOff>
      <xdr:row>36</xdr:row>
      <xdr:rowOff>1454</xdr:rowOff>
    </xdr:to>
    <xdr:sp macro="" textlink="">
      <xdr:nvSpPr>
        <xdr:cNvPr id="49" name="TextBox 48">
          <a:extLst>
            <a:ext uri="{FF2B5EF4-FFF2-40B4-BE49-F238E27FC236}">
              <a16:creationId xmlns:a16="http://schemas.microsoft.com/office/drawing/2014/main" id="{14E32BCF-8D84-40B8-BEB5-11E970E419A9}"/>
            </a:ext>
          </a:extLst>
        </xdr:cNvPr>
        <xdr:cNvSpPr txBox="1"/>
      </xdr:nvSpPr>
      <xdr:spPr>
        <a:xfrm flipH="1">
          <a:off x="2779049" y="19814737"/>
          <a:ext cx="1024381" cy="840092"/>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6</a:t>
          </a:r>
        </a:p>
      </xdr:txBody>
    </xdr:sp>
    <xdr:clientData/>
  </xdr:twoCellAnchor>
  <xdr:twoCellAnchor>
    <xdr:from>
      <xdr:col>1</xdr:col>
      <xdr:colOff>367198</xdr:colOff>
      <xdr:row>37</xdr:row>
      <xdr:rowOff>36496</xdr:rowOff>
    </xdr:from>
    <xdr:to>
      <xdr:col>4</xdr:col>
      <xdr:colOff>853965</xdr:colOff>
      <xdr:row>59</xdr:row>
      <xdr:rowOff>109485</xdr:rowOff>
    </xdr:to>
    <xdr:sp macro="" textlink="">
      <xdr:nvSpPr>
        <xdr:cNvPr id="50" name="Rectangle 49">
          <a:extLst>
            <a:ext uri="{FF2B5EF4-FFF2-40B4-BE49-F238E27FC236}">
              <a16:creationId xmlns:a16="http://schemas.microsoft.com/office/drawing/2014/main" id="{21B99164-81C8-494F-97A2-C62017FBFD08}"/>
            </a:ext>
          </a:extLst>
        </xdr:cNvPr>
        <xdr:cNvSpPr/>
      </xdr:nvSpPr>
      <xdr:spPr>
        <a:xfrm>
          <a:off x="1571508" y="20028048"/>
          <a:ext cx="3902629" cy="6335403"/>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a:solidFill>
                <a:schemeClr val="tx1"/>
              </a:solidFill>
            </a:rPr>
            <a:t>ระบุ</a:t>
          </a:r>
          <a:r>
            <a:rPr lang="th-TH" sz="2400" baseline="0">
              <a:solidFill>
                <a:schemeClr val="tx1"/>
              </a:solidFill>
            </a:rPr>
            <a:t> "เป้าหมาย </a:t>
          </a:r>
          <a:r>
            <a:rPr lang="en-US" sz="2400" baseline="0">
              <a:solidFill>
                <a:schemeClr val="tx1"/>
              </a:solidFill>
            </a:rPr>
            <a:t>MBO</a:t>
          </a:r>
          <a:r>
            <a:rPr lang="th-TH" sz="2400" baseline="0">
              <a:solidFill>
                <a:schemeClr val="tx1"/>
              </a:solidFill>
            </a:rPr>
            <a:t>" ที่ได้รับมอบหมาย หรือ อยากทำให้สำเร็จในแต่ละปี</a:t>
          </a:r>
        </a:p>
        <a:p>
          <a:pPr algn="l"/>
          <a:endParaRPr lang="th-TH" sz="2400" baseline="0">
            <a:solidFill>
              <a:schemeClr val="tx1"/>
            </a:solidFill>
          </a:endParaRPr>
        </a:p>
        <a:p>
          <a:pPr algn="l"/>
          <a:r>
            <a:rPr lang="th-TH" sz="2400" baseline="0">
              <a:solidFill>
                <a:schemeClr val="tx1"/>
              </a:solidFill>
            </a:rPr>
            <a:t>เป้าหมายแบบที่ </a:t>
          </a:r>
          <a:r>
            <a:rPr lang="en-US" sz="2400" baseline="0">
              <a:solidFill>
                <a:schemeClr val="tx1"/>
              </a:solidFill>
            </a:rPr>
            <a:t>1 </a:t>
          </a:r>
          <a:r>
            <a:rPr lang="th-TH" sz="2400" baseline="0">
              <a:solidFill>
                <a:schemeClr val="tx1"/>
              </a:solidFill>
            </a:rPr>
            <a:t>เป็นเป้าหมาย</a:t>
          </a:r>
          <a:r>
            <a:rPr lang="th-TH" sz="2400" baseline="0">
              <a:solidFill>
                <a:srgbClr val="FF0000"/>
              </a:solidFill>
            </a:rPr>
            <a:t>แบบริเริ่ม ปรับปรุง</a:t>
          </a:r>
        </a:p>
        <a:p>
          <a:pPr algn="l"/>
          <a:r>
            <a:rPr lang="th-TH" sz="2400" baseline="0">
              <a:solidFill>
                <a:schemeClr val="tx1"/>
              </a:solidFill>
            </a:rPr>
            <a:t>ตัวถ่วงน้ำหนัก เป็นดังนี้</a:t>
          </a:r>
          <a:endParaRPr lang="en-US" sz="2400" baseline="0">
            <a:solidFill>
              <a:schemeClr val="tx1"/>
            </a:solidFill>
          </a:endParaRPr>
        </a:p>
        <a:p>
          <a:pPr algn="l"/>
          <a:endParaRPr lang="en-US" sz="2400" baseline="0">
            <a:solidFill>
              <a:schemeClr val="tx1"/>
            </a:solidFill>
          </a:endParaRPr>
        </a:p>
        <a:p>
          <a:pPr marL="0" indent="0" algn="l"/>
          <a:r>
            <a:rPr lang="en-US" sz="2400" baseline="0">
              <a:solidFill>
                <a:schemeClr val="tx1"/>
              </a:solidFill>
            </a:rPr>
            <a:t>Grade 4 </a:t>
          </a:r>
          <a:r>
            <a:rPr lang="th-TH" sz="2400" baseline="0">
              <a:solidFill>
                <a:schemeClr val="tx1"/>
              </a:solidFill>
            </a:rPr>
            <a:t>ขึ้นไปจนถึงเกรด </a:t>
          </a:r>
          <a:r>
            <a:rPr lang="en-US" sz="2400" baseline="0">
              <a:solidFill>
                <a:schemeClr val="tx1"/>
              </a:solidFill>
            </a:rPr>
            <a:t>1 </a:t>
          </a:r>
          <a:r>
            <a:rPr lang="th-TH" sz="2400" baseline="0">
              <a:solidFill>
                <a:schemeClr val="tx1"/>
              </a:solidFill>
            </a:rPr>
            <a:t>น้ำหนักอยู่ที่ </a:t>
          </a:r>
          <a:r>
            <a:rPr lang="en-US" sz="2400" baseline="0">
              <a:solidFill>
                <a:schemeClr val="tx1"/>
              </a:solidFill>
            </a:rPr>
            <a:t> </a:t>
          </a:r>
          <a:r>
            <a:rPr lang="en-US" sz="3600" b="1" baseline="0">
              <a:solidFill>
                <a:schemeClr val="tx1"/>
              </a:solidFill>
            </a:rPr>
            <a:t>70%</a:t>
          </a:r>
          <a:endParaRPr lang="en-US" sz="2400" b="1" baseline="0">
            <a:solidFill>
              <a:schemeClr val="tx1"/>
            </a:solidFill>
          </a:endParaRPr>
        </a:p>
        <a:p>
          <a:pPr marL="0" indent="0" algn="l"/>
          <a:endParaRPr lang="en-US" sz="2400" baseline="0">
            <a:solidFill>
              <a:schemeClr val="tx1"/>
            </a:solidFill>
            <a:latin typeface="+mn-lt"/>
            <a:ea typeface="+mn-ea"/>
            <a:cs typeface="+mn-cs"/>
          </a:endParaRPr>
        </a:p>
        <a:p>
          <a:pPr marL="0" indent="0" algn="l"/>
          <a:r>
            <a:rPr lang="th-TH" sz="2400" baseline="0">
              <a:solidFill>
                <a:schemeClr val="tx1"/>
              </a:solidFill>
              <a:latin typeface="+mn-lt"/>
              <a:ea typeface="+mn-ea"/>
              <a:cs typeface="+mn-cs"/>
            </a:rPr>
            <a:t>ต่ำกว่า </a:t>
          </a:r>
          <a:r>
            <a:rPr lang="en-US" sz="2400" baseline="0">
              <a:solidFill>
                <a:schemeClr val="tx1"/>
              </a:solidFill>
              <a:latin typeface="+mn-lt"/>
              <a:ea typeface="+mn-ea"/>
              <a:cs typeface="+mn-cs"/>
            </a:rPr>
            <a:t>Grade 4 </a:t>
          </a:r>
          <a:r>
            <a:rPr lang="th-TH" sz="2400" baseline="0">
              <a:solidFill>
                <a:schemeClr val="tx1"/>
              </a:solidFill>
              <a:latin typeface="+mn-lt"/>
              <a:ea typeface="+mn-ea"/>
              <a:cs typeface="+mn-cs"/>
            </a:rPr>
            <a:t>ลงมา</a:t>
          </a:r>
          <a:r>
            <a:rPr lang="en-US" sz="2400" baseline="0">
              <a:solidFill>
                <a:schemeClr val="tx1"/>
              </a:solidFill>
              <a:latin typeface="+mn-lt"/>
              <a:ea typeface="+mn-ea"/>
              <a:cs typeface="+mn-cs"/>
            </a:rPr>
            <a:t> </a:t>
          </a:r>
          <a:r>
            <a:rPr lang="th-TH" sz="2400" baseline="0">
              <a:solidFill>
                <a:schemeClr val="tx1"/>
              </a:solidFill>
              <a:latin typeface="+mn-lt"/>
              <a:ea typeface="+mn-ea"/>
              <a:cs typeface="+mn-cs"/>
            </a:rPr>
            <a:t>น้ำหนักอยู่ที่ </a:t>
          </a:r>
          <a:r>
            <a:rPr lang="en-US" sz="2400" baseline="0">
              <a:solidFill>
                <a:schemeClr val="tx1"/>
              </a:solidFill>
              <a:latin typeface="+mn-lt"/>
              <a:ea typeface="+mn-ea"/>
              <a:cs typeface="+mn-cs"/>
            </a:rPr>
            <a:t> </a:t>
          </a:r>
          <a:r>
            <a:rPr lang="en-US" sz="3600" b="1" baseline="0">
              <a:solidFill>
                <a:schemeClr val="tx1"/>
              </a:solidFill>
              <a:latin typeface="+mn-lt"/>
              <a:ea typeface="+mn-ea"/>
              <a:cs typeface="+mn-cs"/>
            </a:rPr>
            <a:t>60%</a:t>
          </a:r>
          <a:endParaRPr lang="en-US" sz="2400" b="1" baseline="0">
            <a:solidFill>
              <a:schemeClr val="tx1"/>
            </a:solidFill>
            <a:latin typeface="+mn-lt"/>
            <a:ea typeface="+mn-ea"/>
            <a:cs typeface="+mn-cs"/>
          </a:endParaRPr>
        </a:p>
      </xdr:txBody>
    </xdr:sp>
    <xdr:clientData/>
  </xdr:twoCellAnchor>
  <xdr:twoCellAnchor>
    <xdr:from>
      <xdr:col>5</xdr:col>
      <xdr:colOff>535383</xdr:colOff>
      <xdr:row>36</xdr:row>
      <xdr:rowOff>262029</xdr:rowOff>
    </xdr:from>
    <xdr:to>
      <xdr:col>7</xdr:col>
      <xdr:colOff>1204060</xdr:colOff>
      <xdr:row>59</xdr:row>
      <xdr:rowOff>197994</xdr:rowOff>
    </xdr:to>
    <xdr:sp macro="" textlink="">
      <xdr:nvSpPr>
        <xdr:cNvPr id="57" name="Rectangle 56">
          <a:extLst>
            <a:ext uri="{FF2B5EF4-FFF2-40B4-BE49-F238E27FC236}">
              <a16:creationId xmlns:a16="http://schemas.microsoft.com/office/drawing/2014/main" id="{19F3EF2B-0572-4C04-971C-F86BD91F1B15}"/>
            </a:ext>
          </a:extLst>
        </xdr:cNvPr>
        <xdr:cNvSpPr/>
      </xdr:nvSpPr>
      <xdr:spPr>
        <a:xfrm>
          <a:off x="6294176" y="19968926"/>
          <a:ext cx="3602815" cy="6483034"/>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chemeClr val="tx1"/>
              </a:solidFill>
              <a:latin typeface="+mn-lt"/>
              <a:ea typeface="+mn-ea"/>
              <a:cs typeface="+mn-cs"/>
            </a:rPr>
            <a:t>บอกชื่อกิจกรรม</a:t>
          </a:r>
        </a:p>
        <a:p>
          <a:pPr algn="l"/>
          <a:r>
            <a:rPr lang="th-TH" sz="2400" b="0" baseline="0">
              <a:solidFill>
                <a:schemeClr val="tx1"/>
              </a:solidFill>
              <a:latin typeface="+mn-lt"/>
              <a:ea typeface="+mn-ea"/>
              <a:cs typeface="+mn-cs"/>
            </a:rPr>
            <a:t>วิธีการ</a:t>
          </a:r>
        </a:p>
        <a:p>
          <a:pPr algn="l"/>
          <a:r>
            <a:rPr lang="th-TH" sz="2400" b="0" baseline="0">
              <a:solidFill>
                <a:schemeClr val="tx1"/>
              </a:solidFill>
              <a:latin typeface="+mn-lt"/>
              <a:ea typeface="+mn-ea"/>
              <a:cs typeface="+mn-cs"/>
            </a:rPr>
            <a:t>หรือโครงการ</a:t>
          </a:r>
        </a:p>
        <a:p>
          <a:pPr algn="l"/>
          <a:r>
            <a:rPr lang="th-TH" sz="2400" b="0" baseline="0">
              <a:solidFill>
                <a:schemeClr val="tx1"/>
              </a:solidFill>
              <a:latin typeface="+mn-lt"/>
              <a:ea typeface="+mn-ea"/>
              <a:cs typeface="+mn-cs"/>
            </a:rPr>
            <a:t>เครื่องมือ </a:t>
          </a:r>
        </a:p>
        <a:p>
          <a:pPr algn="l"/>
          <a:r>
            <a:rPr lang="th-TH" sz="2400" b="0" baseline="0">
              <a:solidFill>
                <a:schemeClr val="tx1"/>
              </a:solidFill>
              <a:latin typeface="+mn-lt"/>
              <a:ea typeface="+mn-ea"/>
              <a:cs typeface="+mn-cs"/>
            </a:rPr>
            <a:t>ที่จะนำมาปฏิบัติเพื่อให้ </a:t>
          </a:r>
          <a:r>
            <a:rPr lang="en-US" sz="2400" b="0" baseline="0">
              <a:solidFill>
                <a:schemeClr val="tx1"/>
              </a:solidFill>
              <a:latin typeface="+mn-lt"/>
              <a:ea typeface="+mn-ea"/>
              <a:cs typeface="+mn-cs"/>
            </a:rPr>
            <a:t>MBO </a:t>
          </a:r>
          <a:r>
            <a:rPr lang="th-TH" sz="2400" b="0" baseline="0">
              <a:solidFill>
                <a:schemeClr val="tx1"/>
              </a:solidFill>
              <a:latin typeface="+mn-lt"/>
              <a:ea typeface="+mn-ea"/>
              <a:cs typeface="+mn-cs"/>
            </a:rPr>
            <a:t>ที่กำหนดไว้ประสบความสำเร็จ </a:t>
          </a:r>
          <a:endParaRPr lang="en-US" sz="2400" b="0" baseline="0">
            <a:solidFill>
              <a:schemeClr val="tx1"/>
            </a:solidFill>
            <a:latin typeface="+mn-lt"/>
            <a:ea typeface="+mn-ea"/>
            <a:cs typeface="+mn-cs"/>
          </a:endParaRPr>
        </a:p>
        <a:p>
          <a:pPr algn="l"/>
          <a:r>
            <a:rPr lang="th-TH" sz="2400" b="1" baseline="0">
              <a:solidFill>
                <a:srgbClr val="FF0000"/>
              </a:solidFill>
              <a:latin typeface="+mn-lt"/>
              <a:ea typeface="+mn-ea"/>
              <a:cs typeface="+mn-cs"/>
            </a:rPr>
            <a:t>ที่จะทำในช่วงครึ่งปีแรก (ม.ค. - มิ.ย.)</a:t>
          </a:r>
          <a:endParaRPr lang="en-US" sz="2400" b="1" baseline="0">
            <a:solidFill>
              <a:srgbClr val="FF0000"/>
            </a:solidFill>
            <a:latin typeface="+mn-lt"/>
            <a:ea typeface="+mn-ea"/>
            <a:cs typeface="+mn-cs"/>
          </a:endParaRPr>
        </a:p>
      </xdr:txBody>
    </xdr:sp>
    <xdr:clientData/>
  </xdr:twoCellAnchor>
  <xdr:twoCellAnchor>
    <xdr:from>
      <xdr:col>8</xdr:col>
      <xdr:colOff>91527</xdr:colOff>
      <xdr:row>36</xdr:row>
      <xdr:rowOff>255459</xdr:rowOff>
    </xdr:from>
    <xdr:to>
      <xdr:col>8</xdr:col>
      <xdr:colOff>1492895</xdr:colOff>
      <xdr:row>59</xdr:row>
      <xdr:rowOff>190330</xdr:rowOff>
    </xdr:to>
    <xdr:sp macro="" textlink="">
      <xdr:nvSpPr>
        <xdr:cNvPr id="58" name="Rectangle 57">
          <a:extLst>
            <a:ext uri="{FF2B5EF4-FFF2-40B4-BE49-F238E27FC236}">
              <a16:creationId xmlns:a16="http://schemas.microsoft.com/office/drawing/2014/main" id="{E11E9245-7F7E-4CCE-B6B7-4F2F3CF98327}"/>
            </a:ext>
          </a:extLst>
        </xdr:cNvPr>
        <xdr:cNvSpPr/>
      </xdr:nvSpPr>
      <xdr:spPr>
        <a:xfrm>
          <a:off x="10251527" y="19962356"/>
          <a:ext cx="1401368" cy="6481940"/>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1" baseline="0">
              <a:solidFill>
                <a:schemeClr val="tx1"/>
              </a:solidFill>
              <a:latin typeface="+mn-lt"/>
              <a:ea typeface="+mn-ea"/>
              <a:cs typeface="+mn-cs"/>
            </a:rPr>
            <a:t>วันที่เริ่มทำ </a:t>
          </a:r>
        </a:p>
        <a:p>
          <a:pPr algn="l"/>
          <a:endParaRPr lang="th-TH" sz="2400" b="1" baseline="0">
            <a:solidFill>
              <a:schemeClr val="tx1"/>
            </a:solidFill>
            <a:latin typeface="+mn-lt"/>
            <a:ea typeface="+mn-ea"/>
            <a:cs typeface="+mn-cs"/>
          </a:endParaRPr>
        </a:p>
        <a:p>
          <a:pPr algn="l"/>
          <a:r>
            <a:rPr lang="th-TH" sz="2400" b="1" baseline="0">
              <a:solidFill>
                <a:schemeClr val="tx1"/>
              </a:solidFill>
              <a:latin typeface="+mn-lt"/>
              <a:ea typeface="+mn-ea"/>
              <a:cs typeface="+mn-cs"/>
            </a:rPr>
            <a:t>กับ</a:t>
          </a:r>
        </a:p>
        <a:p>
          <a:pPr algn="l"/>
          <a:endParaRPr lang="th-TH" sz="2400" b="1" baseline="0">
            <a:solidFill>
              <a:schemeClr val="tx1"/>
            </a:solidFill>
            <a:latin typeface="+mn-lt"/>
            <a:ea typeface="+mn-ea"/>
            <a:cs typeface="+mn-cs"/>
          </a:endParaRPr>
        </a:p>
        <a:p>
          <a:pPr algn="l"/>
          <a:r>
            <a:rPr lang="th-TH" sz="2400" b="1" baseline="0">
              <a:solidFill>
                <a:schemeClr val="tx1"/>
              </a:solidFill>
              <a:latin typeface="+mn-lt"/>
              <a:ea typeface="+mn-ea"/>
              <a:cs typeface="+mn-cs"/>
            </a:rPr>
            <a:t>วันที่จะแล้วเสร็จ</a:t>
          </a:r>
        </a:p>
      </xdr:txBody>
    </xdr:sp>
    <xdr:clientData/>
  </xdr:twoCellAnchor>
  <xdr:twoCellAnchor>
    <xdr:from>
      <xdr:col>9</xdr:col>
      <xdr:colOff>406501</xdr:colOff>
      <xdr:row>37</xdr:row>
      <xdr:rowOff>14598</xdr:rowOff>
    </xdr:from>
    <xdr:to>
      <xdr:col>11</xdr:col>
      <xdr:colOff>1237999</xdr:colOff>
      <xdr:row>59</xdr:row>
      <xdr:rowOff>234124</xdr:rowOff>
    </xdr:to>
    <xdr:sp macro="" textlink="">
      <xdr:nvSpPr>
        <xdr:cNvPr id="59" name="Rectangle 58">
          <a:extLst>
            <a:ext uri="{FF2B5EF4-FFF2-40B4-BE49-F238E27FC236}">
              <a16:creationId xmlns:a16="http://schemas.microsoft.com/office/drawing/2014/main" id="{C383FB25-E7BD-464C-A644-EA6F0311D09A}"/>
            </a:ext>
          </a:extLst>
        </xdr:cNvPr>
        <xdr:cNvSpPr/>
      </xdr:nvSpPr>
      <xdr:spPr>
        <a:xfrm>
          <a:off x="12099260" y="20006150"/>
          <a:ext cx="3590463" cy="6481940"/>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chemeClr val="tx1"/>
              </a:solidFill>
              <a:latin typeface="+mn-lt"/>
              <a:ea typeface="+mn-ea"/>
              <a:cs typeface="+mn-cs"/>
            </a:rPr>
            <a:t>ตัวชี้วัดแต่ละระดับ</a:t>
          </a:r>
        </a:p>
        <a:p>
          <a:pPr algn="l"/>
          <a:endParaRPr lang="th-TH" sz="2400" b="0" baseline="0">
            <a:solidFill>
              <a:schemeClr val="tx1"/>
            </a:solidFill>
            <a:latin typeface="+mn-lt"/>
            <a:ea typeface="+mn-ea"/>
            <a:cs typeface="+mn-cs"/>
          </a:endParaRPr>
        </a:p>
        <a:p>
          <a:pPr algn="l"/>
          <a:r>
            <a:rPr lang="en-US" sz="2400" b="0" baseline="0">
              <a:solidFill>
                <a:schemeClr val="tx1"/>
              </a:solidFill>
              <a:latin typeface="+mn-lt"/>
              <a:ea typeface="+mn-ea"/>
              <a:cs typeface="+mn-cs"/>
            </a:rPr>
            <a:t>5:</a:t>
          </a:r>
          <a:r>
            <a:rPr lang="th-TH" sz="2400" b="0" baseline="0">
              <a:solidFill>
                <a:schemeClr val="tx1"/>
              </a:solidFill>
              <a:latin typeface="+mn-lt"/>
              <a:ea typeface="+mn-ea"/>
              <a:cs typeface="+mn-cs"/>
            </a:rPr>
            <a:t> เกินกว่าที่คาดหวังไปมาก</a:t>
          </a:r>
          <a:r>
            <a:rPr lang="en-US" sz="2400" b="0" baseline="0">
              <a:solidFill>
                <a:schemeClr val="tx1"/>
              </a:solidFill>
              <a:latin typeface="+mn-lt"/>
              <a:ea typeface="+mn-ea"/>
              <a:cs typeface="+mn-cs"/>
            </a:rPr>
            <a:t> (&gt; 110%)</a:t>
          </a:r>
          <a:endParaRPr lang="th-TH" sz="2400" b="0" baseline="0">
            <a:solidFill>
              <a:schemeClr val="tx1"/>
            </a:solidFill>
            <a:latin typeface="+mn-lt"/>
            <a:ea typeface="+mn-ea"/>
            <a:cs typeface="+mn-cs"/>
          </a:endParaRPr>
        </a:p>
        <a:p>
          <a:pPr algn="l"/>
          <a:r>
            <a:rPr lang="en-US" sz="2400" b="0" baseline="0">
              <a:solidFill>
                <a:schemeClr val="tx1"/>
              </a:solidFill>
              <a:latin typeface="+mn-lt"/>
              <a:ea typeface="+mn-ea"/>
              <a:cs typeface="+mn-cs"/>
            </a:rPr>
            <a:t>4:</a:t>
          </a:r>
          <a:r>
            <a:rPr lang="th-TH" sz="2400" b="0" baseline="0">
              <a:solidFill>
                <a:schemeClr val="tx1"/>
              </a:solidFill>
              <a:latin typeface="+mn-lt"/>
              <a:ea typeface="+mn-ea"/>
              <a:cs typeface="+mn-cs"/>
            </a:rPr>
            <a:t> เกินกว่าความคาดหวัง</a:t>
          </a:r>
          <a:r>
            <a:rPr lang="en-US" sz="2400" b="0" baseline="0">
              <a:solidFill>
                <a:schemeClr val="tx1"/>
              </a:solidFill>
              <a:latin typeface="+mn-lt"/>
              <a:ea typeface="+mn-ea"/>
              <a:cs typeface="+mn-cs"/>
            </a:rPr>
            <a:t> (110%)</a:t>
          </a:r>
          <a:endParaRPr lang="th-TH" sz="2400" b="0" baseline="0">
            <a:solidFill>
              <a:schemeClr val="tx1"/>
            </a:solidFill>
            <a:latin typeface="+mn-lt"/>
            <a:ea typeface="+mn-ea"/>
            <a:cs typeface="+mn-cs"/>
          </a:endParaRPr>
        </a:p>
        <a:p>
          <a:pPr algn="l"/>
          <a:r>
            <a:rPr lang="en-US" sz="2400" b="1" baseline="0">
              <a:solidFill>
                <a:srgbClr val="FF0000"/>
              </a:solidFill>
              <a:latin typeface="+mn-lt"/>
              <a:ea typeface="+mn-ea"/>
              <a:cs typeface="+mn-cs"/>
            </a:rPr>
            <a:t>3: </a:t>
          </a:r>
          <a:r>
            <a:rPr lang="th-TH" sz="2400" b="1" baseline="0">
              <a:solidFill>
                <a:srgbClr val="FF0000"/>
              </a:solidFill>
              <a:latin typeface="+mn-lt"/>
              <a:ea typeface="+mn-ea"/>
              <a:cs typeface="+mn-cs"/>
            </a:rPr>
            <a:t>คือความคาดหวังที่ </a:t>
          </a:r>
          <a:r>
            <a:rPr lang="en-US" sz="2400" b="1" baseline="0">
              <a:solidFill>
                <a:srgbClr val="FF0000"/>
              </a:solidFill>
              <a:latin typeface="+mn-lt"/>
              <a:ea typeface="+mn-ea"/>
              <a:cs typeface="+mn-cs"/>
            </a:rPr>
            <a:t>Company, Division, Department, Section </a:t>
          </a:r>
          <a:r>
            <a:rPr lang="th-TH" sz="2400" b="1" baseline="0">
              <a:solidFill>
                <a:srgbClr val="FF0000"/>
              </a:solidFill>
              <a:latin typeface="+mn-lt"/>
              <a:ea typeface="+mn-ea"/>
              <a:cs typeface="+mn-cs"/>
            </a:rPr>
            <a:t>อยากได้ หรืออยากทำให้ประสุบผลสำเร็จ </a:t>
          </a:r>
          <a:r>
            <a:rPr lang="en-US" sz="2400" b="1" baseline="0">
              <a:solidFill>
                <a:srgbClr val="FF0000"/>
              </a:solidFill>
              <a:latin typeface="+mn-lt"/>
              <a:ea typeface="+mn-ea"/>
              <a:cs typeface="+mn-cs"/>
            </a:rPr>
            <a:t>(100%)</a:t>
          </a:r>
        </a:p>
        <a:p>
          <a:pPr algn="l"/>
          <a:r>
            <a:rPr lang="en-US" sz="2400" b="0" baseline="0">
              <a:solidFill>
                <a:schemeClr val="tx1"/>
              </a:solidFill>
              <a:latin typeface="+mn-lt"/>
              <a:ea typeface="+mn-ea"/>
              <a:cs typeface="+mn-cs"/>
            </a:rPr>
            <a:t>2:</a:t>
          </a:r>
          <a:r>
            <a:rPr lang="th-TH" sz="2400" b="0" baseline="0">
              <a:solidFill>
                <a:schemeClr val="tx1"/>
              </a:solidFill>
              <a:latin typeface="+mn-lt"/>
              <a:ea typeface="+mn-ea"/>
              <a:cs typeface="+mn-cs"/>
            </a:rPr>
            <a:t> ต่ำกว่าที่คาดหวังเล็กน้อย</a:t>
          </a:r>
          <a:r>
            <a:rPr lang="en-US" sz="2400" b="0" baseline="0">
              <a:solidFill>
                <a:schemeClr val="tx1"/>
              </a:solidFill>
              <a:latin typeface="+mn-lt"/>
              <a:ea typeface="+mn-ea"/>
              <a:cs typeface="+mn-cs"/>
            </a:rPr>
            <a:t> (95%)</a:t>
          </a:r>
        </a:p>
        <a:p>
          <a:pPr algn="l"/>
          <a:r>
            <a:rPr lang="en-US" sz="2400" b="0" baseline="0">
              <a:solidFill>
                <a:schemeClr val="tx1"/>
              </a:solidFill>
              <a:latin typeface="+mn-lt"/>
              <a:ea typeface="+mn-ea"/>
              <a:cs typeface="+mn-cs"/>
            </a:rPr>
            <a:t>1:</a:t>
          </a:r>
          <a:r>
            <a:rPr lang="th-TH" sz="2400" b="0" baseline="0">
              <a:solidFill>
                <a:schemeClr val="tx1"/>
              </a:solidFill>
              <a:latin typeface="+mn-lt"/>
              <a:ea typeface="+mn-ea"/>
              <a:cs typeface="+mn-cs"/>
            </a:rPr>
            <a:t> ต่ำกว่าที่คาดหวังไปมาก</a:t>
          </a:r>
          <a:r>
            <a:rPr lang="en-US" sz="2400" b="0" baseline="0">
              <a:solidFill>
                <a:schemeClr val="tx1"/>
              </a:solidFill>
              <a:latin typeface="+mn-lt"/>
              <a:ea typeface="+mn-ea"/>
              <a:cs typeface="+mn-cs"/>
            </a:rPr>
            <a:t> (&lt; 95%)</a:t>
          </a:r>
          <a:endParaRPr lang="th-TH" sz="2400" b="0" baseline="0">
            <a:solidFill>
              <a:schemeClr val="tx1"/>
            </a:solidFill>
            <a:latin typeface="+mn-lt"/>
            <a:ea typeface="+mn-ea"/>
            <a:cs typeface="+mn-cs"/>
          </a:endParaRPr>
        </a:p>
        <a:p>
          <a:pPr algn="l"/>
          <a:endParaRPr lang="th-TH" sz="2400" b="0" baseline="0">
            <a:solidFill>
              <a:schemeClr val="tx1"/>
            </a:solidFill>
            <a:latin typeface="+mn-lt"/>
            <a:ea typeface="+mn-ea"/>
            <a:cs typeface="+mn-cs"/>
          </a:endParaRPr>
        </a:p>
        <a:p>
          <a:pPr algn="l"/>
          <a:endParaRPr lang="th-TH" sz="2400" b="0" baseline="0">
            <a:solidFill>
              <a:schemeClr val="tx1"/>
            </a:solidFill>
            <a:latin typeface="+mn-lt"/>
            <a:ea typeface="+mn-ea"/>
            <a:cs typeface="+mn-cs"/>
          </a:endParaRPr>
        </a:p>
        <a:p>
          <a:pPr algn="l"/>
          <a:endParaRPr lang="en-US" sz="2400" b="1" baseline="0">
            <a:solidFill>
              <a:schemeClr val="tx1"/>
            </a:solidFill>
            <a:latin typeface="+mn-lt"/>
            <a:ea typeface="+mn-ea"/>
            <a:cs typeface="+mn-cs"/>
          </a:endParaRPr>
        </a:p>
      </xdr:txBody>
    </xdr:sp>
    <xdr:clientData/>
  </xdr:twoCellAnchor>
  <xdr:twoCellAnchor>
    <xdr:from>
      <xdr:col>18</xdr:col>
      <xdr:colOff>71680</xdr:colOff>
      <xdr:row>22</xdr:row>
      <xdr:rowOff>216175</xdr:rowOff>
    </xdr:from>
    <xdr:to>
      <xdr:col>22</xdr:col>
      <xdr:colOff>534904</xdr:colOff>
      <xdr:row>27</xdr:row>
      <xdr:rowOff>816465</xdr:rowOff>
    </xdr:to>
    <xdr:sp macro="" textlink="">
      <xdr:nvSpPr>
        <xdr:cNvPr id="64" name="Rectangle 63">
          <a:extLst>
            <a:ext uri="{FF2B5EF4-FFF2-40B4-BE49-F238E27FC236}">
              <a16:creationId xmlns:a16="http://schemas.microsoft.com/office/drawing/2014/main" id="{F7C72674-8D33-4D8E-A100-6916DB90623B}"/>
            </a:ext>
          </a:extLst>
        </xdr:cNvPr>
        <xdr:cNvSpPr/>
      </xdr:nvSpPr>
      <xdr:spPr>
        <a:xfrm>
          <a:off x="23644119" y="12993614"/>
          <a:ext cx="5295419" cy="3000900"/>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1" baseline="0">
              <a:solidFill>
                <a:schemeClr val="tx1"/>
              </a:solidFill>
              <a:latin typeface="+mn-lt"/>
              <a:ea typeface="+mn-ea"/>
              <a:cs typeface="+mn-cs"/>
            </a:rPr>
            <a:t>น้ำหนักของแต่ละ </a:t>
          </a:r>
          <a:r>
            <a:rPr lang="en-US" sz="2400" b="1" baseline="0">
              <a:solidFill>
                <a:schemeClr val="tx1"/>
              </a:solidFill>
              <a:latin typeface="+mn-lt"/>
              <a:ea typeface="+mn-ea"/>
              <a:cs typeface="+mn-cs"/>
            </a:rPr>
            <a:t>MBO </a:t>
          </a:r>
          <a:r>
            <a:rPr lang="th-TH" sz="2400" b="1" baseline="0">
              <a:solidFill>
                <a:schemeClr val="tx1"/>
              </a:solidFill>
              <a:latin typeface="+mn-lt"/>
              <a:ea typeface="+mn-ea"/>
              <a:cs typeface="+mn-cs"/>
            </a:rPr>
            <a:t>พิจารณาให้น้ำหนักตาม</a:t>
          </a:r>
        </a:p>
        <a:p>
          <a:pPr algn="l"/>
          <a:r>
            <a:rPr lang="en-US" sz="2400" b="1" baseline="0">
              <a:solidFill>
                <a:schemeClr val="tx1"/>
              </a:solidFill>
              <a:latin typeface="+mn-lt"/>
              <a:ea typeface="+mn-ea"/>
              <a:cs typeface="+mn-cs"/>
            </a:rPr>
            <a:t>1. </a:t>
          </a:r>
          <a:r>
            <a:rPr lang="th-TH" sz="2400" b="0" baseline="0">
              <a:solidFill>
                <a:schemeClr val="tx1"/>
              </a:solidFill>
              <a:latin typeface="+mn-lt"/>
              <a:ea typeface="+mn-ea"/>
              <a:cs typeface="+mn-cs"/>
            </a:rPr>
            <a:t>ความสำคัญหรือระดับผลกระทบที่ดีต่อบริษัทฯ หรือ หน่วยงาน</a:t>
          </a:r>
          <a:endParaRPr lang="en-US" sz="2400" b="0" baseline="0">
            <a:solidFill>
              <a:schemeClr val="tx1"/>
            </a:solidFill>
            <a:latin typeface="+mn-lt"/>
            <a:ea typeface="+mn-ea"/>
            <a:cs typeface="+mn-cs"/>
          </a:endParaRPr>
        </a:p>
        <a:p>
          <a:pPr algn="l"/>
          <a:r>
            <a:rPr lang="en-US" sz="2400" b="0" baseline="0">
              <a:solidFill>
                <a:schemeClr val="tx1"/>
              </a:solidFill>
              <a:latin typeface="+mn-lt"/>
              <a:ea typeface="+mn-ea"/>
              <a:cs typeface="+mn-cs"/>
            </a:rPr>
            <a:t>2.</a:t>
          </a:r>
          <a:r>
            <a:rPr lang="th-TH" sz="2400" b="0" baseline="0">
              <a:solidFill>
                <a:schemeClr val="tx1"/>
              </a:solidFill>
              <a:latin typeface="+mn-lt"/>
              <a:ea typeface="+mn-ea"/>
              <a:cs typeface="+mn-cs"/>
            </a:rPr>
            <a:t> เวลาที่ใช้</a:t>
          </a:r>
        </a:p>
        <a:p>
          <a:pPr algn="l"/>
          <a:r>
            <a:rPr lang="en-US" sz="2400" b="0" baseline="0">
              <a:solidFill>
                <a:schemeClr val="tx1"/>
              </a:solidFill>
              <a:latin typeface="+mn-lt"/>
              <a:ea typeface="+mn-ea"/>
              <a:cs typeface="+mn-cs"/>
            </a:rPr>
            <a:t>3.</a:t>
          </a:r>
          <a:r>
            <a:rPr lang="th-TH" sz="2400" b="0" baseline="0">
              <a:solidFill>
                <a:schemeClr val="tx1"/>
              </a:solidFill>
              <a:latin typeface="+mn-lt"/>
              <a:ea typeface="+mn-ea"/>
              <a:cs typeface="+mn-cs"/>
            </a:rPr>
            <a:t> ความเร่งด่วน </a:t>
          </a:r>
        </a:p>
        <a:p>
          <a:pPr algn="l"/>
          <a:r>
            <a:rPr lang="en-US" sz="2400" b="0" baseline="0">
              <a:solidFill>
                <a:schemeClr val="tx1"/>
              </a:solidFill>
              <a:latin typeface="+mn-lt"/>
              <a:ea typeface="+mn-ea"/>
              <a:cs typeface="+mn-cs"/>
            </a:rPr>
            <a:t>4. </a:t>
          </a:r>
          <a:r>
            <a:rPr lang="th-TH" sz="2400" b="0" baseline="0">
              <a:solidFill>
                <a:schemeClr val="tx1"/>
              </a:solidFill>
              <a:latin typeface="+mn-lt"/>
              <a:ea typeface="+mn-ea"/>
              <a:cs typeface="+mn-cs"/>
            </a:rPr>
            <a:t>ความพยายามและความยากลำบากที่ใช้</a:t>
          </a:r>
        </a:p>
      </xdr:txBody>
    </xdr:sp>
    <xdr:clientData/>
  </xdr:twoCellAnchor>
  <xdr:twoCellAnchor>
    <xdr:from>
      <xdr:col>1</xdr:col>
      <xdr:colOff>562573</xdr:colOff>
      <xdr:row>89</xdr:row>
      <xdr:rowOff>184154</xdr:rowOff>
    </xdr:from>
    <xdr:to>
      <xdr:col>12</xdr:col>
      <xdr:colOff>766379</xdr:colOff>
      <xdr:row>98</xdr:row>
      <xdr:rowOff>65689</xdr:rowOff>
    </xdr:to>
    <xdr:sp macro="" textlink="">
      <xdr:nvSpPr>
        <xdr:cNvPr id="65" name="Rectangle 64">
          <a:extLst>
            <a:ext uri="{FF2B5EF4-FFF2-40B4-BE49-F238E27FC236}">
              <a16:creationId xmlns:a16="http://schemas.microsoft.com/office/drawing/2014/main" id="{0D816445-9F94-49B4-A205-908E05DADCC4}"/>
            </a:ext>
          </a:extLst>
        </xdr:cNvPr>
        <xdr:cNvSpPr/>
      </xdr:nvSpPr>
      <xdr:spPr>
        <a:xfrm>
          <a:off x="1766883" y="37692947"/>
          <a:ext cx="14830703" cy="2443432"/>
        </a:xfrm>
        <a:prstGeom prst="rect">
          <a:avLst/>
        </a:prstGeom>
        <a:solidFill>
          <a:srgbClr val="C000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b="1" baseline="0">
              <a:solidFill>
                <a:schemeClr val="bg1"/>
              </a:solidFill>
              <a:latin typeface="+mn-lt"/>
              <a:ea typeface="+mn-ea"/>
              <a:cs typeface="+mn-cs"/>
            </a:rPr>
            <a:t>MBO </a:t>
          </a:r>
          <a:r>
            <a:rPr lang="th-TH" sz="3200" b="1" baseline="0">
              <a:solidFill>
                <a:schemeClr val="bg1"/>
              </a:solidFill>
              <a:latin typeface="+mn-lt"/>
              <a:ea typeface="+mn-ea"/>
              <a:cs typeface="+mn-cs"/>
            </a:rPr>
            <a:t>แต่ละ </a:t>
          </a:r>
          <a:r>
            <a:rPr lang="en-US" sz="3200" b="1" baseline="0">
              <a:solidFill>
                <a:schemeClr val="bg1"/>
              </a:solidFill>
              <a:latin typeface="+mn-lt"/>
              <a:ea typeface="+mn-ea"/>
              <a:cs typeface="+mn-cs"/>
            </a:rPr>
            <a:t>Part </a:t>
          </a:r>
          <a:r>
            <a:rPr lang="th-TH" sz="3200" b="1" baseline="0">
              <a:solidFill>
                <a:srgbClr val="FFFF00"/>
              </a:solidFill>
              <a:latin typeface="+mn-lt"/>
              <a:ea typeface="+mn-ea"/>
              <a:cs typeface="+mn-cs"/>
            </a:rPr>
            <a:t>จะมีกี่หัวข้อก็ได้ </a:t>
          </a:r>
          <a:r>
            <a:rPr lang="th-TH" sz="3200" b="1" baseline="0">
              <a:solidFill>
                <a:schemeClr val="bg1"/>
              </a:solidFill>
              <a:latin typeface="+mn-lt"/>
              <a:ea typeface="+mn-ea"/>
              <a:cs typeface="+mn-cs"/>
            </a:rPr>
            <a:t>แต่รวมกันแล้ว ไม่ต่ำกว่า </a:t>
          </a:r>
          <a:r>
            <a:rPr lang="en-US" sz="3200" b="1" baseline="0">
              <a:solidFill>
                <a:schemeClr val="bg1"/>
              </a:solidFill>
              <a:latin typeface="+mn-lt"/>
              <a:ea typeface="+mn-ea"/>
              <a:cs typeface="+mn-cs"/>
            </a:rPr>
            <a:t>5 </a:t>
          </a:r>
          <a:r>
            <a:rPr lang="th-TH" sz="3200" b="1" baseline="0">
              <a:solidFill>
                <a:schemeClr val="bg1"/>
              </a:solidFill>
              <a:latin typeface="+mn-lt"/>
              <a:ea typeface="+mn-ea"/>
              <a:cs typeface="+mn-cs"/>
            </a:rPr>
            <a:t>และ ไม่เกิน </a:t>
          </a:r>
          <a:r>
            <a:rPr lang="en-US" sz="3200" b="1" baseline="0">
              <a:solidFill>
                <a:schemeClr val="bg1"/>
              </a:solidFill>
              <a:latin typeface="+mn-lt"/>
              <a:ea typeface="+mn-ea"/>
              <a:cs typeface="+mn-cs"/>
            </a:rPr>
            <a:t>7 </a:t>
          </a:r>
          <a:r>
            <a:rPr lang="th-TH" sz="3200" b="1" baseline="0">
              <a:solidFill>
                <a:schemeClr val="bg1"/>
              </a:solidFill>
              <a:latin typeface="+mn-lt"/>
              <a:ea typeface="+mn-ea"/>
              <a:cs typeface="+mn-cs"/>
            </a:rPr>
            <a:t>หัวข้อ</a:t>
          </a:r>
          <a:r>
            <a:rPr lang="en-US" sz="3200" b="1" baseline="0">
              <a:solidFill>
                <a:schemeClr val="bg1"/>
              </a:solidFill>
              <a:latin typeface="+mn-lt"/>
              <a:ea typeface="+mn-ea"/>
              <a:cs typeface="+mn-cs"/>
            </a:rPr>
            <a:t> </a:t>
          </a:r>
        </a:p>
        <a:p>
          <a:pPr algn="l"/>
          <a:r>
            <a:rPr lang="th-TH" sz="3200" b="1" baseline="0">
              <a:solidFill>
                <a:schemeClr val="bg1"/>
              </a:solidFill>
              <a:latin typeface="+mn-lt"/>
              <a:ea typeface="+mn-ea"/>
              <a:cs typeface="+mn-cs"/>
            </a:rPr>
            <a:t>การให้น้ำหนัก </a:t>
          </a:r>
          <a:r>
            <a:rPr lang="en-US" sz="3200" b="1" baseline="0">
              <a:solidFill>
                <a:schemeClr val="bg1"/>
              </a:solidFill>
              <a:latin typeface="+mn-lt"/>
              <a:ea typeface="+mn-ea"/>
              <a:cs typeface="+mn-cs"/>
            </a:rPr>
            <a:t>MBO </a:t>
          </a:r>
          <a:r>
            <a:rPr lang="th-TH" sz="3200" b="1" baseline="0">
              <a:solidFill>
                <a:schemeClr val="bg1"/>
              </a:solidFill>
              <a:latin typeface="+mn-lt"/>
              <a:ea typeface="+mn-ea"/>
              <a:cs typeface="+mn-cs"/>
            </a:rPr>
            <a:t>แต่ละ </a:t>
          </a:r>
          <a:r>
            <a:rPr lang="en-US" sz="3200" b="1" baseline="0">
              <a:solidFill>
                <a:schemeClr val="bg1"/>
              </a:solidFill>
              <a:latin typeface="+mn-lt"/>
              <a:ea typeface="+mn-ea"/>
              <a:cs typeface="+mn-cs"/>
            </a:rPr>
            <a:t>Part</a:t>
          </a:r>
          <a:r>
            <a:rPr lang="th-TH" sz="3200" b="1" baseline="0">
              <a:solidFill>
                <a:schemeClr val="bg1"/>
              </a:solidFill>
              <a:latin typeface="+mn-lt"/>
              <a:ea typeface="+mn-ea"/>
              <a:cs typeface="+mn-cs"/>
            </a:rPr>
            <a:t> (ริเริ่ม/ ปรับปรุง, งานประจำ) จะต้องรวมแล้วไม่เกินน้ำหนักที่กำหนดไว้ให้ในแต่ละส่วน เกรด </a:t>
          </a:r>
          <a:r>
            <a:rPr lang="en-US" sz="3200" b="1" baseline="0">
              <a:solidFill>
                <a:schemeClr val="bg1"/>
              </a:solidFill>
              <a:latin typeface="+mn-lt"/>
              <a:ea typeface="+mn-ea"/>
              <a:cs typeface="+mn-cs"/>
            </a:rPr>
            <a:t>1-4 (70:30), </a:t>
          </a:r>
          <a:r>
            <a:rPr lang="th-TH" sz="3200" b="1" baseline="0">
              <a:solidFill>
                <a:schemeClr val="bg1"/>
              </a:solidFill>
              <a:latin typeface="+mn-lt"/>
              <a:ea typeface="+mn-ea"/>
              <a:cs typeface="+mn-cs"/>
            </a:rPr>
            <a:t>เกรด </a:t>
          </a:r>
          <a:r>
            <a:rPr lang="en-US" sz="3200" b="1" baseline="0">
              <a:solidFill>
                <a:schemeClr val="bg1"/>
              </a:solidFill>
              <a:latin typeface="+mn-lt"/>
              <a:ea typeface="+mn-ea"/>
              <a:cs typeface="+mn-cs"/>
            </a:rPr>
            <a:t>5-9 (60:40)</a:t>
          </a:r>
          <a:endParaRPr lang="th-TH" sz="3200" b="0" baseline="0">
            <a:solidFill>
              <a:schemeClr val="bg1"/>
            </a:solidFill>
            <a:latin typeface="+mn-lt"/>
            <a:ea typeface="+mn-ea"/>
            <a:cs typeface="+mn-cs"/>
          </a:endParaRPr>
        </a:p>
      </xdr:txBody>
    </xdr:sp>
    <xdr:clientData/>
  </xdr:twoCellAnchor>
  <xdr:twoCellAnchor>
    <xdr:from>
      <xdr:col>12</xdr:col>
      <xdr:colOff>374186</xdr:colOff>
      <xdr:row>32</xdr:row>
      <xdr:rowOff>162591</xdr:rowOff>
    </xdr:from>
    <xdr:to>
      <xdr:col>13</xdr:col>
      <xdr:colOff>216976</xdr:colOff>
      <xdr:row>35</xdr:row>
      <xdr:rowOff>252806</xdr:rowOff>
    </xdr:to>
    <xdr:sp macro="" textlink="">
      <xdr:nvSpPr>
        <xdr:cNvPr id="104" name="TextBox 103">
          <a:extLst>
            <a:ext uri="{FF2B5EF4-FFF2-40B4-BE49-F238E27FC236}">
              <a16:creationId xmlns:a16="http://schemas.microsoft.com/office/drawing/2014/main" id="{E7800C8F-9766-4D8F-8DBF-0C1710BB5CE6}"/>
            </a:ext>
          </a:extLst>
        </xdr:cNvPr>
        <xdr:cNvSpPr txBox="1"/>
      </xdr:nvSpPr>
      <xdr:spPr>
        <a:xfrm flipH="1">
          <a:off x="16191459" y="19558955"/>
          <a:ext cx="1228244" cy="956124"/>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1st</a:t>
          </a:r>
        </a:p>
      </xdr:txBody>
    </xdr:sp>
    <xdr:clientData/>
  </xdr:twoCellAnchor>
  <xdr:twoCellAnchor>
    <xdr:from>
      <xdr:col>12</xdr:col>
      <xdr:colOff>210428</xdr:colOff>
      <xdr:row>37</xdr:row>
      <xdr:rowOff>28531</xdr:rowOff>
    </xdr:from>
    <xdr:to>
      <xdr:col>14</xdr:col>
      <xdr:colOff>1226207</xdr:colOff>
      <xdr:row>59</xdr:row>
      <xdr:rowOff>276109</xdr:rowOff>
    </xdr:to>
    <xdr:sp macro="" textlink="">
      <xdr:nvSpPr>
        <xdr:cNvPr id="105" name="Rectangle 104">
          <a:extLst>
            <a:ext uri="{FF2B5EF4-FFF2-40B4-BE49-F238E27FC236}">
              <a16:creationId xmlns:a16="http://schemas.microsoft.com/office/drawing/2014/main" id="{3F5A33CD-1333-4EC3-B2E9-952B4C8052B3}"/>
            </a:ext>
          </a:extLst>
        </xdr:cNvPr>
        <xdr:cNvSpPr/>
      </xdr:nvSpPr>
      <xdr:spPr>
        <a:xfrm>
          <a:off x="16041635" y="20020083"/>
          <a:ext cx="3774744" cy="6509992"/>
        </a:xfrm>
        <a:prstGeom prst="rect">
          <a:avLst/>
        </a:prstGeom>
        <a:solidFill>
          <a:srgbClr val="FFCCFF"/>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2400" b="0" baseline="0">
              <a:solidFill>
                <a:schemeClr val="tx1"/>
              </a:solidFill>
              <a:latin typeface="+mn-lt"/>
              <a:ea typeface="+mn-ea"/>
              <a:cs typeface="+mn-cs"/>
            </a:rPr>
            <a:t>เมื่อใกล้ถึงรอบการประเมินผล</a:t>
          </a:r>
        </a:p>
        <a:p>
          <a:pPr marL="0" marR="0" lvl="0" indent="0" algn="l" defTabSz="914400" eaLnBrk="1" fontAlgn="auto" latinLnBrk="0" hangingPunct="1">
            <a:lnSpc>
              <a:spcPct val="100000"/>
            </a:lnSpc>
            <a:spcBef>
              <a:spcPts val="0"/>
            </a:spcBef>
            <a:spcAft>
              <a:spcPts val="0"/>
            </a:spcAft>
            <a:buClrTx/>
            <a:buSzTx/>
            <a:buFontTx/>
            <a:buNone/>
            <a:tabLst/>
            <a:defRPr/>
          </a:pPr>
          <a:r>
            <a:rPr lang="th-TH" sz="2400" b="0" baseline="0">
              <a:solidFill>
                <a:schemeClr val="tx1"/>
              </a:solidFill>
              <a:latin typeface="+mn-lt"/>
              <a:ea typeface="+mn-ea"/>
              <a:cs typeface="+mn-cs"/>
            </a:rPr>
            <a:t>โบนัสกลางปี (รอบประเมิน</a:t>
          </a:r>
          <a:r>
            <a:rPr lang="en-US" sz="2400" b="0" baseline="0">
              <a:solidFill>
                <a:schemeClr val="tx1"/>
              </a:solidFill>
              <a:latin typeface="+mn-lt"/>
              <a:ea typeface="+mn-ea"/>
              <a:cs typeface="+mn-cs"/>
            </a:rPr>
            <a:t>: </a:t>
          </a:r>
          <a:r>
            <a:rPr lang="th-TH" sz="2400" b="0" baseline="0">
              <a:solidFill>
                <a:schemeClr val="tx1"/>
              </a:solidFill>
              <a:latin typeface="+mn-lt"/>
              <a:ea typeface="+mn-ea"/>
              <a:cs typeface="+mn-cs"/>
            </a:rPr>
            <a:t>ม.ค. - มิ.ย.) </a:t>
          </a:r>
        </a:p>
        <a:p>
          <a:pPr algn="l"/>
          <a:r>
            <a:rPr lang="th-TH" sz="2800" b="1" baseline="0">
              <a:solidFill>
                <a:srgbClr val="FF0000"/>
              </a:solidFill>
              <a:latin typeface="+mn-lt"/>
              <a:ea typeface="+mn-ea"/>
              <a:cs typeface="+mn-cs"/>
            </a:rPr>
            <a:t>ตั้งแต่  วันที่ </a:t>
          </a:r>
          <a:r>
            <a:rPr lang="en-US" sz="2800" b="1" baseline="0">
              <a:solidFill>
                <a:srgbClr val="FF0000"/>
              </a:solidFill>
              <a:latin typeface="+mn-lt"/>
              <a:ea typeface="+mn-ea"/>
              <a:cs typeface="+mn-cs"/>
            </a:rPr>
            <a:t>1 </a:t>
          </a:r>
          <a:r>
            <a:rPr lang="th-TH" sz="2800" b="1" baseline="0">
              <a:solidFill>
                <a:srgbClr val="FF0000"/>
              </a:solidFill>
              <a:latin typeface="+mn-lt"/>
              <a:ea typeface="+mn-ea"/>
              <a:cs typeface="+mn-cs"/>
            </a:rPr>
            <a:t>พ.ค.</a:t>
          </a:r>
          <a:r>
            <a:rPr lang="en-US" sz="2800" b="1" baseline="0">
              <a:solidFill>
                <a:srgbClr val="FF0000"/>
              </a:solidFill>
              <a:latin typeface="+mn-lt"/>
              <a:ea typeface="+mn-ea"/>
              <a:cs typeface="+mn-cs"/>
            </a:rPr>
            <a:t> </a:t>
          </a:r>
          <a:endParaRPr lang="th-TH" sz="2800" b="1" baseline="0">
            <a:solidFill>
              <a:srgbClr val="FF0000"/>
            </a:solidFill>
            <a:latin typeface="+mn-lt"/>
            <a:ea typeface="+mn-ea"/>
            <a:cs typeface="+mn-cs"/>
          </a:endParaRPr>
        </a:p>
        <a:p>
          <a:pPr algn="l"/>
          <a:r>
            <a:rPr lang="th-TH" sz="2400" b="1" u="sng" baseline="0">
              <a:solidFill>
                <a:schemeClr val="tx1"/>
              </a:solidFill>
              <a:latin typeface="+mn-lt"/>
              <a:ea typeface="+mn-ea"/>
              <a:cs typeface="+mn-cs"/>
            </a:rPr>
            <a:t>พนักงาน </a:t>
          </a:r>
          <a:r>
            <a:rPr lang="en-US" sz="2400" b="1" u="sng" baseline="0">
              <a:solidFill>
                <a:schemeClr val="tx1"/>
              </a:solidFill>
              <a:latin typeface="+mn-lt"/>
              <a:ea typeface="+mn-ea"/>
              <a:cs typeface="+mn-cs"/>
            </a:rPr>
            <a:t>: </a:t>
          </a:r>
          <a:r>
            <a:rPr lang="th-TH" sz="2400" b="1" u="sng" baseline="0">
              <a:solidFill>
                <a:schemeClr val="tx1"/>
              </a:solidFill>
              <a:latin typeface="+mn-lt"/>
              <a:ea typeface="+mn-ea"/>
              <a:cs typeface="+mn-cs"/>
            </a:rPr>
            <a:t>ผู้ถูกประเมิน</a:t>
          </a:r>
        </a:p>
        <a:p>
          <a:pPr algn="l"/>
          <a:r>
            <a:rPr lang="en-US" sz="4000" b="0" baseline="0">
              <a:solidFill>
                <a:schemeClr val="tx1"/>
              </a:solidFill>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พนักงานจะบันทึกผลของความสำเร็จ</a:t>
          </a:r>
          <a:r>
            <a:rPr lang="en-US" sz="2400" b="0" baseline="0">
              <a:solidFill>
                <a:schemeClr val="tx1"/>
              </a:solidFill>
              <a:latin typeface="+mn-lt"/>
              <a:ea typeface="+mn-ea"/>
              <a:cs typeface="+mn-cs"/>
            </a:rPr>
            <a:t> + </a:t>
          </a:r>
          <a:r>
            <a:rPr lang="th-TH" sz="2400" b="0" baseline="0">
              <a:solidFill>
                <a:schemeClr val="tx1"/>
              </a:solidFill>
              <a:latin typeface="+mn-lt"/>
              <a:ea typeface="+mn-ea"/>
              <a:cs typeface="+mn-cs"/>
            </a:rPr>
            <a:t>หลักฐานของการดำเนินการ (เอกสาร, บันทึก, รูปภาพ, อื่นๆ) </a:t>
          </a:r>
        </a:p>
        <a:p>
          <a:pPr algn="l"/>
          <a:r>
            <a:rPr lang="en-US" sz="4000" b="0" baseline="0">
              <a:solidFill>
                <a:schemeClr val="tx1"/>
              </a:solidFill>
              <a:latin typeface="+mn-lt"/>
              <a:ea typeface="+mn-ea"/>
              <a:cs typeface="+mn-cs"/>
              <a:sym typeface="Wingdings 2" panose="05020102010507070707" pitchFamily="18" charset="2"/>
            </a:rPr>
            <a:t></a:t>
          </a:r>
          <a:r>
            <a:rPr lang="th-TH" sz="2400" b="0" baseline="0">
              <a:solidFill>
                <a:srgbClr val="00B050"/>
              </a:solidFill>
              <a:latin typeface="+mn-lt"/>
              <a:ea typeface="+mn-ea"/>
              <a:cs typeface="+mn-cs"/>
            </a:rPr>
            <a:t>พนักงานประเมินตนเอง ให้คะแนน </a:t>
          </a:r>
          <a:r>
            <a:rPr lang="en-US" sz="2400" b="0" baseline="0">
              <a:solidFill>
                <a:srgbClr val="00B050"/>
              </a:solidFill>
              <a:latin typeface="+mn-lt"/>
              <a:ea typeface="+mn-ea"/>
              <a:cs typeface="+mn-cs"/>
            </a:rPr>
            <a:t>1-5</a:t>
          </a:r>
          <a:r>
            <a:rPr lang="th-TH" sz="2400" b="0" baseline="0">
              <a:solidFill>
                <a:srgbClr val="00B050"/>
              </a:solidFill>
              <a:latin typeface="+mn-lt"/>
              <a:ea typeface="+mn-ea"/>
              <a:cs typeface="+mn-cs"/>
            </a:rPr>
            <a:t> และ บันทึกตัวเลขของผลลัพธ์ หรือผลงานที่เกิดขึ้น</a:t>
          </a:r>
        </a:p>
        <a:p>
          <a:pPr algn="l"/>
          <a:endParaRPr lang="en-US" sz="2400" b="1" baseline="0">
            <a:solidFill>
              <a:schemeClr val="tx1"/>
            </a:solidFill>
            <a:latin typeface="+mn-lt"/>
            <a:ea typeface="+mn-ea"/>
            <a:cs typeface="+mn-cs"/>
          </a:endParaRPr>
        </a:p>
      </xdr:txBody>
    </xdr:sp>
    <xdr:clientData/>
  </xdr:twoCellAnchor>
  <xdr:twoCellAnchor>
    <xdr:from>
      <xdr:col>19</xdr:col>
      <xdr:colOff>832069</xdr:colOff>
      <xdr:row>33</xdr:row>
      <xdr:rowOff>177842</xdr:rowOff>
    </xdr:from>
    <xdr:to>
      <xdr:col>25</xdr:col>
      <xdr:colOff>218966</xdr:colOff>
      <xdr:row>59</xdr:row>
      <xdr:rowOff>262758</xdr:rowOff>
    </xdr:to>
    <xdr:sp macro="" textlink="">
      <xdr:nvSpPr>
        <xdr:cNvPr id="110" name="Rectangle 109">
          <a:extLst>
            <a:ext uri="{FF2B5EF4-FFF2-40B4-BE49-F238E27FC236}">
              <a16:creationId xmlns:a16="http://schemas.microsoft.com/office/drawing/2014/main" id="{2BC64970-636F-477D-ADF3-B46594D6D683}"/>
            </a:ext>
          </a:extLst>
        </xdr:cNvPr>
        <xdr:cNvSpPr/>
      </xdr:nvSpPr>
      <xdr:spPr>
        <a:xfrm>
          <a:off x="25640862" y="19030773"/>
          <a:ext cx="6612759" cy="7485951"/>
        </a:xfrm>
        <a:prstGeom prst="rect">
          <a:avLst/>
        </a:prstGeom>
        <a:solidFill>
          <a:srgbClr val="FFCCFF"/>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chemeClr val="tx1"/>
              </a:solidFill>
              <a:latin typeface="+mn-lt"/>
              <a:ea typeface="+mn-ea"/>
              <a:cs typeface="+mn-cs"/>
            </a:rPr>
            <a:t>เมื่อใกล้ถึงรอบการประเมินผล</a:t>
          </a:r>
        </a:p>
        <a:p>
          <a:pPr marL="0" marR="0" lvl="0" indent="0" algn="l" defTabSz="914400" eaLnBrk="1" fontAlgn="auto" latinLnBrk="0" hangingPunct="1">
            <a:lnSpc>
              <a:spcPct val="100000"/>
            </a:lnSpc>
            <a:spcBef>
              <a:spcPts val="0"/>
            </a:spcBef>
            <a:spcAft>
              <a:spcPts val="0"/>
            </a:spcAft>
            <a:buClrTx/>
            <a:buSzTx/>
            <a:buFontTx/>
            <a:buNone/>
            <a:tabLst/>
            <a:defRPr/>
          </a:pPr>
          <a:r>
            <a:rPr lang="th-TH" sz="2400" b="0" baseline="0">
              <a:solidFill>
                <a:schemeClr val="tx1"/>
              </a:solidFill>
              <a:latin typeface="+mn-lt"/>
              <a:ea typeface="+mn-ea"/>
              <a:cs typeface="+mn-cs"/>
            </a:rPr>
            <a:t>โบนัสกลางปี (รอบประเมิน</a:t>
          </a:r>
          <a:r>
            <a:rPr lang="en-US" sz="2400" b="0" baseline="0">
              <a:solidFill>
                <a:schemeClr val="tx1"/>
              </a:solidFill>
              <a:latin typeface="+mn-lt"/>
              <a:ea typeface="+mn-ea"/>
              <a:cs typeface="+mn-cs"/>
            </a:rPr>
            <a:t>: </a:t>
          </a:r>
          <a:r>
            <a:rPr lang="th-TH" sz="2400" b="0" baseline="0">
              <a:solidFill>
                <a:schemeClr val="tx1"/>
              </a:solidFill>
              <a:latin typeface="+mn-lt"/>
              <a:ea typeface="+mn-ea"/>
              <a:cs typeface="+mn-cs"/>
            </a:rPr>
            <a:t>ม.ค. - มิ.ย.) </a:t>
          </a:r>
        </a:p>
        <a:p>
          <a:pPr algn="l"/>
          <a:r>
            <a:rPr lang="th-TH" sz="2800" b="1" baseline="0">
              <a:solidFill>
                <a:srgbClr val="FF0000"/>
              </a:solidFill>
              <a:latin typeface="+mn-lt"/>
              <a:ea typeface="+mn-ea"/>
              <a:cs typeface="+mn-cs"/>
            </a:rPr>
            <a:t>ตั้งแต่  วันที่ </a:t>
          </a:r>
          <a:r>
            <a:rPr lang="en-US" sz="2800" b="1" baseline="0">
              <a:solidFill>
                <a:srgbClr val="FF0000"/>
              </a:solidFill>
              <a:latin typeface="+mn-lt"/>
              <a:ea typeface="+mn-ea"/>
              <a:cs typeface="+mn-cs"/>
            </a:rPr>
            <a:t>1 </a:t>
          </a:r>
          <a:r>
            <a:rPr lang="th-TH" sz="2800" b="1" baseline="0">
              <a:solidFill>
                <a:srgbClr val="FF0000"/>
              </a:solidFill>
              <a:latin typeface="+mn-lt"/>
              <a:ea typeface="+mn-ea"/>
              <a:cs typeface="+mn-cs"/>
            </a:rPr>
            <a:t>พ.ค.</a:t>
          </a:r>
          <a:r>
            <a:rPr lang="en-US" sz="2800" b="1" baseline="0">
              <a:solidFill>
                <a:srgbClr val="FF0000"/>
              </a:solidFill>
              <a:latin typeface="+mn-lt"/>
              <a:ea typeface="+mn-ea"/>
              <a:cs typeface="+mn-cs"/>
            </a:rPr>
            <a:t> </a:t>
          </a:r>
          <a:endParaRPr lang="th-TH" sz="2800" b="1" baseline="0">
            <a:solidFill>
              <a:srgbClr val="FF0000"/>
            </a:solidFill>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th-TH" sz="2400" b="1" u="sng" baseline="0">
              <a:solidFill>
                <a:schemeClr val="tx1"/>
              </a:solidFill>
              <a:latin typeface="+mn-lt"/>
              <a:ea typeface="+mn-ea"/>
              <a:cs typeface="+mn-cs"/>
            </a:rPr>
            <a:t>หัวหน้างาน </a:t>
          </a:r>
          <a:r>
            <a:rPr lang="en-US" sz="2400" b="1" u="sng" baseline="0">
              <a:solidFill>
                <a:schemeClr val="tx1"/>
              </a:solidFill>
              <a:latin typeface="+mn-lt"/>
              <a:ea typeface="+mn-ea"/>
              <a:cs typeface="+mn-cs"/>
            </a:rPr>
            <a:t>: </a:t>
          </a:r>
          <a:r>
            <a:rPr lang="th-TH" sz="2400" b="1" u="sng" baseline="0">
              <a:solidFill>
                <a:schemeClr val="tx1"/>
              </a:solidFill>
              <a:latin typeface="+mn-lt"/>
              <a:ea typeface="+mn-ea"/>
              <a:cs typeface="+mn-cs"/>
            </a:rPr>
            <a:t>ผู้ประเมินคนที่ </a:t>
          </a:r>
          <a:r>
            <a:rPr lang="en-US" sz="2400" b="1" u="sng" baseline="0">
              <a:solidFill>
                <a:schemeClr val="tx1"/>
              </a:solidFill>
              <a:latin typeface="+mn-lt"/>
              <a:ea typeface="+mn-ea"/>
              <a:cs typeface="+mn-cs"/>
            </a:rPr>
            <a:t>1, </a:t>
          </a:r>
          <a:r>
            <a:rPr lang="th-TH" sz="2400" b="1" u="sng" baseline="0">
              <a:solidFill>
                <a:schemeClr val="tx1"/>
              </a:solidFill>
              <a:latin typeface="+mn-lt"/>
              <a:ea typeface="+mn-ea"/>
              <a:cs typeface="+mn-cs"/>
            </a:rPr>
            <a:t>ผู้ประเมินคนที่ </a:t>
          </a:r>
          <a:r>
            <a:rPr lang="en-US" sz="2400" b="1" u="sng" baseline="0">
              <a:solidFill>
                <a:schemeClr val="tx1"/>
              </a:solidFill>
              <a:latin typeface="+mn-lt"/>
              <a:ea typeface="+mn-ea"/>
              <a:cs typeface="+mn-cs"/>
            </a:rPr>
            <a:t>2</a:t>
          </a:r>
        </a:p>
        <a:p>
          <a:pPr algn="l"/>
          <a:r>
            <a:rPr lang="en-US" sz="3600" b="0" baseline="0">
              <a:solidFill>
                <a:schemeClr val="tx1"/>
              </a:solidFill>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หัวหน้างาน</a:t>
          </a:r>
          <a:r>
            <a:rPr lang="en-US" sz="2400" b="0" baseline="0">
              <a:solidFill>
                <a:schemeClr val="tx1"/>
              </a:solidFill>
              <a:latin typeface="+mn-lt"/>
              <a:ea typeface="+mn-ea"/>
              <a:cs typeface="+mn-cs"/>
            </a:rPr>
            <a:t> (</a:t>
          </a:r>
          <a:r>
            <a:rPr lang="th-TH" sz="2400" b="0" baseline="0">
              <a:solidFill>
                <a:schemeClr val="tx1"/>
              </a:solidFill>
              <a:latin typeface="+mn-lt"/>
              <a:ea typeface="+mn-ea"/>
              <a:cs typeface="+mn-cs"/>
            </a:rPr>
            <a:t>ผู้ประเมินคนที่ </a:t>
          </a:r>
          <a:r>
            <a:rPr lang="en-US" sz="2400" b="0" baseline="0">
              <a:solidFill>
                <a:schemeClr val="tx1"/>
              </a:solidFill>
              <a:latin typeface="+mn-lt"/>
              <a:ea typeface="+mn-ea"/>
              <a:cs typeface="+mn-cs"/>
            </a:rPr>
            <a:t>1) </a:t>
          </a:r>
          <a:r>
            <a:rPr lang="th-TH" sz="2400" b="0" baseline="0">
              <a:solidFill>
                <a:schemeClr val="tx1"/>
              </a:solidFill>
              <a:latin typeface="+mn-lt"/>
              <a:ea typeface="+mn-ea"/>
              <a:cs typeface="+mn-cs"/>
            </a:rPr>
            <a:t>จะทำตารางนัดเพื่อพูดคุยเพื่อทบทวนผลการทำงาน (ตามหัวข้อ </a:t>
          </a:r>
          <a:r>
            <a:rPr lang="en-US" sz="2400" b="0" baseline="0">
              <a:solidFill>
                <a:schemeClr val="tx1"/>
              </a:solidFill>
              <a:latin typeface="+mn-lt"/>
              <a:ea typeface="+mn-ea"/>
              <a:cs typeface="+mn-cs"/>
            </a:rPr>
            <a:t>MBO)</a:t>
          </a:r>
          <a:r>
            <a:rPr lang="th-TH" sz="2400" b="0" baseline="0">
              <a:solidFill>
                <a:schemeClr val="tx1"/>
              </a:solidFill>
              <a:latin typeface="+mn-lt"/>
              <a:ea typeface="+mn-ea"/>
              <a:cs typeface="+mn-cs"/>
            </a:rPr>
            <a:t> และพฤติกรรมการทำงาน (ตาม </a:t>
          </a:r>
          <a:r>
            <a:rPr lang="en-US" sz="2400" b="0" baseline="0">
              <a:solidFill>
                <a:schemeClr val="tx1"/>
              </a:solidFill>
              <a:latin typeface="+mn-lt"/>
              <a:ea typeface="+mn-ea"/>
              <a:cs typeface="+mn-cs"/>
            </a:rPr>
            <a:t>6 Factors)</a:t>
          </a:r>
        </a:p>
        <a:p>
          <a:pPr algn="l"/>
          <a:r>
            <a:rPr lang="th-TH" sz="4000" b="0" baseline="0">
              <a:solidFill>
                <a:schemeClr val="tx1"/>
              </a:solidFill>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ทบทวนความสำเร็จตามเป้าหมาย </a:t>
          </a:r>
          <a:r>
            <a:rPr lang="en-US" sz="2400" b="0" baseline="0">
              <a:solidFill>
                <a:schemeClr val="tx1"/>
              </a:solidFill>
              <a:latin typeface="+mn-lt"/>
              <a:ea typeface="+mn-ea"/>
              <a:cs typeface="+mn-cs"/>
            </a:rPr>
            <a:t>MBO </a:t>
          </a:r>
          <a:r>
            <a:rPr lang="th-TH" sz="2400" b="0" baseline="0">
              <a:solidFill>
                <a:schemeClr val="tx1"/>
              </a:solidFill>
              <a:latin typeface="+mn-lt"/>
              <a:ea typeface="+mn-ea"/>
              <a:cs typeface="+mn-cs"/>
            </a:rPr>
            <a:t>พูดคุย ซักถาม ถึงวิธีการบรรลุผลสำเร็จตามเป้าหมาย ขณะเดียวกันก็ประเมินพฤติกรรม </a:t>
          </a:r>
          <a:r>
            <a:rPr lang="en-US" sz="2400" b="0" baseline="0">
              <a:solidFill>
                <a:schemeClr val="tx1"/>
              </a:solidFill>
              <a:latin typeface="+mn-lt"/>
              <a:ea typeface="+mn-ea"/>
              <a:cs typeface="+mn-cs"/>
            </a:rPr>
            <a:t>(6 Factors) </a:t>
          </a:r>
          <a:r>
            <a:rPr lang="th-TH" sz="2400" b="0" baseline="0">
              <a:solidFill>
                <a:schemeClr val="tx1"/>
              </a:solidFill>
              <a:latin typeface="+mn-lt"/>
              <a:ea typeface="+mn-ea"/>
              <a:cs typeface="+mn-cs"/>
            </a:rPr>
            <a:t>ไปด้วย</a:t>
          </a:r>
        </a:p>
        <a:p>
          <a:pPr algn="l"/>
          <a:r>
            <a:rPr lang="th-TH" sz="4000" b="0" baseline="0">
              <a:solidFill>
                <a:schemeClr val="tx1"/>
              </a:solidFill>
              <a:effectLst/>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ให้คะแนนตามความเป็นจริง (อิงเกณฑ์) ไม่ใช้ทัศนคติหรือความชอบส่วนตัว</a:t>
          </a:r>
        </a:p>
        <a:p>
          <a:pPr algn="l"/>
          <a:r>
            <a:rPr lang="th-TH" sz="4000" b="0" baseline="0">
              <a:solidFill>
                <a:schemeClr val="tx1"/>
              </a:solidFill>
              <a:effectLst/>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สรุป และ ส่งต่อให้ผู้ประเมินคนที่ </a:t>
          </a:r>
          <a:r>
            <a:rPr lang="en-US" sz="2400" b="0" baseline="0">
              <a:solidFill>
                <a:schemeClr val="tx1"/>
              </a:solidFill>
              <a:latin typeface="+mn-lt"/>
              <a:ea typeface="+mn-ea"/>
              <a:cs typeface="+mn-cs"/>
            </a:rPr>
            <a:t>2 </a:t>
          </a:r>
          <a:r>
            <a:rPr lang="th-TH" sz="2400" b="0" baseline="0">
              <a:solidFill>
                <a:schemeClr val="tx1"/>
              </a:solidFill>
              <a:latin typeface="+mn-lt"/>
              <a:ea typeface="+mn-ea"/>
              <a:cs typeface="+mn-cs"/>
            </a:rPr>
            <a:t>เพื่อให้คะแนน</a:t>
          </a:r>
        </a:p>
        <a:p>
          <a:pPr algn="l"/>
          <a:r>
            <a:rPr lang="th-TH" sz="4000" b="0" baseline="0">
              <a:solidFill>
                <a:schemeClr val="tx1"/>
              </a:solidFill>
              <a:effectLst/>
              <a:latin typeface="+mn-lt"/>
              <a:ea typeface="+mn-ea"/>
              <a:cs typeface="+mn-cs"/>
              <a:sym typeface="Wingdings 2" panose="05020102010507070707" pitchFamily="18" charset="2"/>
            </a:rPr>
            <a:t></a:t>
          </a:r>
          <a:r>
            <a:rPr lang="th-TH" sz="2400" b="1" baseline="0">
              <a:solidFill>
                <a:srgbClr val="FF0000"/>
              </a:solidFill>
              <a:latin typeface="+mn-lt"/>
              <a:ea typeface="+mn-ea"/>
              <a:cs typeface="+mn-cs"/>
            </a:rPr>
            <a:t>คะแนนของผู้ประเมินคนที่ </a:t>
          </a:r>
          <a:r>
            <a:rPr lang="en-US" sz="2400" b="1" baseline="0">
              <a:solidFill>
                <a:srgbClr val="FF0000"/>
              </a:solidFill>
              <a:latin typeface="+mn-lt"/>
              <a:ea typeface="+mn-ea"/>
              <a:cs typeface="+mn-cs"/>
            </a:rPr>
            <a:t>1</a:t>
          </a:r>
          <a:r>
            <a:rPr lang="th-TH" sz="2400" b="1" baseline="0">
              <a:solidFill>
                <a:srgbClr val="FF0000"/>
              </a:solidFill>
              <a:latin typeface="+mn-lt"/>
              <a:ea typeface="+mn-ea"/>
              <a:cs typeface="+mn-cs"/>
            </a:rPr>
            <a:t> และ คนที่ </a:t>
          </a:r>
          <a:r>
            <a:rPr lang="en-US" sz="2400" b="1" baseline="0">
              <a:solidFill>
                <a:srgbClr val="FF0000"/>
              </a:solidFill>
              <a:latin typeface="+mn-lt"/>
              <a:ea typeface="+mn-ea"/>
              <a:cs typeface="+mn-cs"/>
            </a:rPr>
            <a:t>2 </a:t>
          </a:r>
          <a:r>
            <a:rPr lang="th-TH" sz="2400" b="1" baseline="0">
              <a:solidFill>
                <a:srgbClr val="FF0000"/>
              </a:solidFill>
              <a:latin typeface="+mn-lt"/>
              <a:ea typeface="+mn-ea"/>
              <a:cs typeface="+mn-cs"/>
            </a:rPr>
            <a:t>จะต้องเท่ากัน ถ้าไม่เท่าต้องพูดคุยและหาข้อตกลงเพื่อสรุปคะแนนที่จะให้ในทางเดียวกัน</a:t>
          </a:r>
        </a:p>
        <a:p>
          <a:pPr algn="l"/>
          <a:endParaRPr lang="th-TH" sz="2400" b="0" baseline="0">
            <a:solidFill>
              <a:schemeClr val="tx1"/>
            </a:solidFill>
            <a:latin typeface="+mn-lt"/>
            <a:ea typeface="+mn-ea"/>
            <a:cs typeface="+mn-cs"/>
          </a:endParaRPr>
        </a:p>
        <a:p>
          <a:pPr algn="l"/>
          <a:endParaRPr lang="en-US" sz="2400" b="1" baseline="0">
            <a:solidFill>
              <a:schemeClr val="tx1"/>
            </a:solidFill>
            <a:latin typeface="+mn-lt"/>
            <a:ea typeface="+mn-ea"/>
            <a:cs typeface="+mn-cs"/>
          </a:endParaRPr>
        </a:p>
      </xdr:txBody>
    </xdr:sp>
    <xdr:clientData/>
  </xdr:twoCellAnchor>
  <xdr:twoCellAnchor>
    <xdr:from>
      <xdr:col>16</xdr:col>
      <xdr:colOff>76056</xdr:colOff>
      <xdr:row>27</xdr:row>
      <xdr:rowOff>816465</xdr:rowOff>
    </xdr:from>
    <xdr:to>
      <xdr:col>20</xdr:col>
      <xdr:colOff>303293</xdr:colOff>
      <xdr:row>29</xdr:row>
      <xdr:rowOff>613914</xdr:rowOff>
    </xdr:to>
    <xdr:cxnSp macro="">
      <xdr:nvCxnSpPr>
        <xdr:cNvPr id="118" name="Connector: Curved 117">
          <a:extLst>
            <a:ext uri="{FF2B5EF4-FFF2-40B4-BE49-F238E27FC236}">
              <a16:creationId xmlns:a16="http://schemas.microsoft.com/office/drawing/2014/main" id="{0F513BD8-E755-4A5A-A892-8A751D5FA55E}"/>
            </a:ext>
          </a:extLst>
        </xdr:cNvPr>
        <xdr:cNvCxnSpPr>
          <a:cxnSpLocks/>
          <a:endCxn id="64" idx="2"/>
        </xdr:cNvCxnSpPr>
      </xdr:nvCxnSpPr>
      <xdr:spPr>
        <a:xfrm rot="5400000" flipH="1" flipV="1">
          <a:off x="23041467" y="14089847"/>
          <a:ext cx="1505380" cy="5044478"/>
        </a:xfrm>
        <a:prstGeom prst="curvedConnector3">
          <a:avLst>
            <a:gd name="adj1" fmla="val 50000"/>
          </a:avLst>
        </a:prstGeom>
        <a:ln w="57150">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779732</xdr:colOff>
      <xdr:row>50</xdr:row>
      <xdr:rowOff>100938</xdr:rowOff>
    </xdr:from>
    <xdr:to>
      <xdr:col>14</xdr:col>
      <xdr:colOff>1353848</xdr:colOff>
      <xdr:row>56</xdr:row>
      <xdr:rowOff>184252</xdr:rowOff>
    </xdr:to>
    <xdr:sp macro="" textlink="">
      <xdr:nvSpPr>
        <xdr:cNvPr id="131" name="Right Brace 130">
          <a:extLst>
            <a:ext uri="{FF2B5EF4-FFF2-40B4-BE49-F238E27FC236}">
              <a16:creationId xmlns:a16="http://schemas.microsoft.com/office/drawing/2014/main" id="{964A8ADF-0D2B-456F-B005-6D22DF8593DE}"/>
            </a:ext>
          </a:extLst>
        </xdr:cNvPr>
        <xdr:cNvSpPr/>
      </xdr:nvSpPr>
      <xdr:spPr>
        <a:xfrm>
          <a:off x="19369904" y="23793007"/>
          <a:ext cx="574116" cy="1791245"/>
        </a:xfrm>
        <a:prstGeom prst="rightBrac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114296</xdr:colOff>
      <xdr:row>43</xdr:row>
      <xdr:rowOff>37385</xdr:rowOff>
    </xdr:from>
    <xdr:to>
      <xdr:col>18</xdr:col>
      <xdr:colOff>21362</xdr:colOff>
      <xdr:row>49</xdr:row>
      <xdr:rowOff>207751</xdr:rowOff>
    </xdr:to>
    <xdr:sp macro="" textlink="">
      <xdr:nvSpPr>
        <xdr:cNvPr id="137" name="Rectangle 136">
          <a:extLst>
            <a:ext uri="{FF2B5EF4-FFF2-40B4-BE49-F238E27FC236}">
              <a16:creationId xmlns:a16="http://schemas.microsoft.com/office/drawing/2014/main" id="{CF2E18C6-51E1-4901-AC49-711B3B0140A7}"/>
            </a:ext>
          </a:extLst>
        </xdr:cNvPr>
        <xdr:cNvSpPr/>
      </xdr:nvSpPr>
      <xdr:spPr>
        <a:xfrm>
          <a:off x="21310158" y="21736868"/>
          <a:ext cx="2315687" cy="1878297"/>
        </a:xfrm>
        <a:prstGeom prst="rect">
          <a:avLst/>
        </a:prstGeom>
        <a:solidFill>
          <a:srgbClr val="FFCCFF"/>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rgbClr val="00B050"/>
              </a:solidFill>
              <a:latin typeface="+mn-lt"/>
              <a:ea typeface="+mn-ea"/>
              <a:cs typeface="+mn-cs"/>
            </a:rPr>
            <a:t>คะแนนประเมิน (อิงเกณฑ์) ที่กำหนดไว้ในขั้นตอนที่ </a:t>
          </a:r>
          <a:r>
            <a:rPr lang="en-US" sz="2400" b="0" baseline="0">
              <a:solidFill>
                <a:srgbClr val="00B050"/>
              </a:solidFill>
              <a:latin typeface="+mn-lt"/>
              <a:ea typeface="+mn-ea"/>
              <a:cs typeface="+mn-cs"/>
            </a:rPr>
            <a:t>9</a:t>
          </a:r>
        </a:p>
      </xdr:txBody>
    </xdr:sp>
    <xdr:clientData/>
  </xdr:twoCellAnchor>
  <xdr:twoCellAnchor>
    <xdr:from>
      <xdr:col>17</xdr:col>
      <xdr:colOff>145806</xdr:colOff>
      <xdr:row>54</xdr:row>
      <xdr:rowOff>15488</xdr:rowOff>
    </xdr:from>
    <xdr:to>
      <xdr:col>19</xdr:col>
      <xdr:colOff>61951</xdr:colOff>
      <xdr:row>60</xdr:row>
      <xdr:rowOff>185854</xdr:rowOff>
    </xdr:to>
    <xdr:sp macro="" textlink="">
      <xdr:nvSpPr>
        <xdr:cNvPr id="138" name="Rectangle 137">
          <a:extLst>
            <a:ext uri="{FF2B5EF4-FFF2-40B4-BE49-F238E27FC236}">
              <a16:creationId xmlns:a16="http://schemas.microsoft.com/office/drawing/2014/main" id="{D1B35BF4-1CA8-436B-94DF-2B3D655DD4A0}"/>
            </a:ext>
          </a:extLst>
        </xdr:cNvPr>
        <xdr:cNvSpPr/>
      </xdr:nvSpPr>
      <xdr:spPr>
        <a:xfrm>
          <a:off x="22510196" y="24857927"/>
          <a:ext cx="2332243" cy="1843049"/>
        </a:xfrm>
        <a:prstGeom prst="rect">
          <a:avLst/>
        </a:prstGeom>
        <a:solidFill>
          <a:srgbClr val="FFCCFF"/>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rgbClr val="00B050"/>
              </a:solidFill>
              <a:effectLst/>
              <a:latin typeface="+mn-lt"/>
              <a:ea typeface="+mn-ea"/>
              <a:cs typeface="+mn-cs"/>
            </a:rPr>
            <a:t>ผลลัพธ์ หรือ ลักษณะของความสำเร็จ </a:t>
          </a:r>
          <a:r>
            <a:rPr lang="th-TH" sz="2400" b="0" baseline="0">
              <a:solidFill>
                <a:srgbClr val="00B050"/>
              </a:solidFill>
              <a:latin typeface="+mn-lt"/>
              <a:ea typeface="+mn-ea"/>
              <a:cs typeface="+mn-cs"/>
            </a:rPr>
            <a:t>เป็นตัวเลข</a:t>
          </a:r>
          <a:r>
            <a:rPr lang="th-TH" sz="2400" b="0" baseline="0">
              <a:solidFill>
                <a:srgbClr val="00B050"/>
              </a:solidFill>
              <a:effectLst/>
              <a:latin typeface="+mn-lt"/>
              <a:ea typeface="+mn-ea"/>
              <a:cs typeface="+mn-cs"/>
            </a:rPr>
            <a:t>สะสม หรือ ค่าเฉลี่ยของผลลัพธ์</a:t>
          </a:r>
          <a:endParaRPr lang="en-US" sz="2400" b="0" baseline="0">
            <a:solidFill>
              <a:srgbClr val="00B050"/>
            </a:solidFill>
            <a:latin typeface="+mn-lt"/>
            <a:ea typeface="+mn-ea"/>
            <a:cs typeface="+mn-cs"/>
          </a:endParaRPr>
        </a:p>
      </xdr:txBody>
    </xdr:sp>
    <xdr:clientData/>
  </xdr:twoCellAnchor>
  <xdr:twoCellAnchor>
    <xdr:from>
      <xdr:col>1</xdr:col>
      <xdr:colOff>539053</xdr:colOff>
      <xdr:row>82</xdr:row>
      <xdr:rowOff>193057</xdr:rowOff>
    </xdr:from>
    <xdr:to>
      <xdr:col>44</xdr:col>
      <xdr:colOff>680357</xdr:colOff>
      <xdr:row>87</xdr:row>
      <xdr:rowOff>168634</xdr:rowOff>
    </xdr:to>
    <xdr:sp macro="" textlink="">
      <xdr:nvSpPr>
        <xdr:cNvPr id="172" name="Rectangle 171">
          <a:extLst>
            <a:ext uri="{FF2B5EF4-FFF2-40B4-BE49-F238E27FC236}">
              <a16:creationId xmlns:a16="http://schemas.microsoft.com/office/drawing/2014/main" id="{321DAC2A-5CA4-446D-8BE5-C14705BB4100}"/>
            </a:ext>
          </a:extLst>
        </xdr:cNvPr>
        <xdr:cNvSpPr/>
      </xdr:nvSpPr>
      <xdr:spPr>
        <a:xfrm>
          <a:off x="1741017" y="35367521"/>
          <a:ext cx="55477019" cy="1336292"/>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5400" b="0" baseline="0">
              <a:solidFill>
                <a:schemeClr val="tx1"/>
              </a:solidFill>
              <a:latin typeface="+mn-lt"/>
              <a:ea typeface="+mn-ea"/>
              <a:cs typeface="+mn-cs"/>
            </a:rPr>
            <a:t>ใช้วิธีการเดียวกันกับที่ใช้ใน </a:t>
          </a:r>
          <a:r>
            <a:rPr lang="en-US" sz="5400" b="0" baseline="0">
              <a:solidFill>
                <a:schemeClr val="tx1"/>
              </a:solidFill>
              <a:latin typeface="+mn-lt"/>
              <a:ea typeface="+mn-ea"/>
              <a:cs typeface="+mn-cs"/>
            </a:rPr>
            <a:t>Part</a:t>
          </a:r>
          <a:r>
            <a:rPr lang="th-TH" sz="5400" b="0" baseline="0">
              <a:solidFill>
                <a:schemeClr val="tx1"/>
              </a:solidFill>
              <a:latin typeface="+mn-lt"/>
              <a:ea typeface="+mn-ea"/>
              <a:cs typeface="+mn-cs"/>
            </a:rPr>
            <a:t> </a:t>
          </a:r>
          <a:r>
            <a:rPr lang="en-US" sz="5400" b="0" baseline="0">
              <a:solidFill>
                <a:schemeClr val="tx1"/>
              </a:solidFill>
              <a:latin typeface="+mn-lt"/>
              <a:ea typeface="+mn-ea"/>
              <a:cs typeface="+mn-cs"/>
            </a:rPr>
            <a:t>1 :  Initiative and Improvement MBO</a:t>
          </a:r>
          <a:endParaRPr lang="th-TH" sz="5400" b="0" baseline="0">
            <a:solidFill>
              <a:schemeClr val="tx1"/>
            </a:solidFill>
            <a:latin typeface="+mn-lt"/>
            <a:ea typeface="+mn-ea"/>
            <a:cs typeface="+mn-cs"/>
          </a:endParaRPr>
        </a:p>
      </xdr:txBody>
    </xdr:sp>
    <xdr:clientData/>
  </xdr:twoCellAnchor>
  <xdr:twoCellAnchor>
    <xdr:from>
      <xdr:col>14</xdr:col>
      <xdr:colOff>1179285</xdr:colOff>
      <xdr:row>98</xdr:row>
      <xdr:rowOff>136071</xdr:rowOff>
    </xdr:from>
    <xdr:to>
      <xdr:col>25</xdr:col>
      <xdr:colOff>249464</xdr:colOff>
      <xdr:row>103</xdr:row>
      <xdr:rowOff>578581</xdr:rowOff>
    </xdr:to>
    <xdr:sp macro="" textlink="">
      <xdr:nvSpPr>
        <xdr:cNvPr id="178" name="Rectangle 177">
          <a:extLst>
            <a:ext uri="{FF2B5EF4-FFF2-40B4-BE49-F238E27FC236}">
              <a16:creationId xmlns:a16="http://schemas.microsoft.com/office/drawing/2014/main" id="{02DDE39C-7B2B-46A7-A03C-69B051CAE2DB}"/>
            </a:ext>
          </a:extLst>
        </xdr:cNvPr>
        <xdr:cNvSpPr/>
      </xdr:nvSpPr>
      <xdr:spPr>
        <a:xfrm>
          <a:off x="19730356" y="39664821"/>
          <a:ext cx="12495894" cy="2438224"/>
        </a:xfrm>
        <a:prstGeom prst="rect">
          <a:avLst/>
        </a:prstGeom>
        <a:noFill/>
        <a:ln w="5715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b="0" baseline="0">
            <a:solidFill>
              <a:schemeClr val="tx1"/>
            </a:solidFill>
            <a:latin typeface="+mn-lt"/>
            <a:ea typeface="+mn-ea"/>
            <a:cs typeface="+mn-cs"/>
          </a:endParaRPr>
        </a:p>
      </xdr:txBody>
    </xdr:sp>
    <xdr:clientData/>
  </xdr:twoCellAnchor>
  <xdr:twoCellAnchor>
    <xdr:from>
      <xdr:col>31</xdr:col>
      <xdr:colOff>1065891</xdr:colOff>
      <xdr:row>98</xdr:row>
      <xdr:rowOff>249464</xdr:rowOff>
    </xdr:from>
    <xdr:to>
      <xdr:col>45</xdr:col>
      <xdr:colOff>294822</xdr:colOff>
      <xdr:row>104</xdr:row>
      <xdr:rowOff>11617</xdr:rowOff>
    </xdr:to>
    <xdr:sp macro="" textlink="">
      <xdr:nvSpPr>
        <xdr:cNvPr id="182" name="Rectangle 181">
          <a:extLst>
            <a:ext uri="{FF2B5EF4-FFF2-40B4-BE49-F238E27FC236}">
              <a16:creationId xmlns:a16="http://schemas.microsoft.com/office/drawing/2014/main" id="{1B83533E-C313-4A72-AA6D-80CC62B3FD27}"/>
            </a:ext>
          </a:extLst>
        </xdr:cNvPr>
        <xdr:cNvSpPr/>
      </xdr:nvSpPr>
      <xdr:spPr>
        <a:xfrm>
          <a:off x="41705891" y="39778214"/>
          <a:ext cx="16260538" cy="2438224"/>
        </a:xfrm>
        <a:prstGeom prst="rect">
          <a:avLst/>
        </a:prstGeom>
        <a:noFill/>
        <a:ln w="5715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b="0" baseline="0">
            <a:solidFill>
              <a:schemeClr val="tx1"/>
            </a:solidFill>
            <a:latin typeface="+mn-lt"/>
            <a:ea typeface="+mn-ea"/>
            <a:cs typeface="+mn-cs"/>
          </a:endParaRPr>
        </a:p>
      </xdr:txBody>
    </xdr:sp>
    <xdr:clientData/>
  </xdr:twoCellAnchor>
  <xdr:twoCellAnchor>
    <xdr:from>
      <xdr:col>25</xdr:col>
      <xdr:colOff>724423</xdr:colOff>
      <xdr:row>37</xdr:row>
      <xdr:rowOff>35279</xdr:rowOff>
    </xdr:from>
    <xdr:to>
      <xdr:col>27</xdr:col>
      <xdr:colOff>1208568</xdr:colOff>
      <xdr:row>59</xdr:row>
      <xdr:rowOff>252372</xdr:rowOff>
    </xdr:to>
    <xdr:sp macro="" textlink="">
      <xdr:nvSpPr>
        <xdr:cNvPr id="108" name="Rectangle 107">
          <a:extLst>
            <a:ext uri="{FF2B5EF4-FFF2-40B4-BE49-F238E27FC236}">
              <a16:creationId xmlns:a16="http://schemas.microsoft.com/office/drawing/2014/main" id="{A5949668-3E8B-4DFC-B951-73F610853678}"/>
            </a:ext>
          </a:extLst>
        </xdr:cNvPr>
        <xdr:cNvSpPr/>
      </xdr:nvSpPr>
      <xdr:spPr>
        <a:xfrm>
          <a:off x="32759078" y="20026831"/>
          <a:ext cx="3418283" cy="6479507"/>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chemeClr val="tx1"/>
              </a:solidFill>
              <a:latin typeface="+mn-lt"/>
              <a:ea typeface="+mn-ea"/>
              <a:cs typeface="+mn-cs"/>
            </a:rPr>
            <a:t>บอกชื่อกิจกรรม</a:t>
          </a:r>
        </a:p>
        <a:p>
          <a:pPr algn="l"/>
          <a:r>
            <a:rPr lang="th-TH" sz="2400" b="0" baseline="0">
              <a:solidFill>
                <a:schemeClr val="tx1"/>
              </a:solidFill>
              <a:latin typeface="+mn-lt"/>
              <a:ea typeface="+mn-ea"/>
              <a:cs typeface="+mn-cs"/>
            </a:rPr>
            <a:t>วิธีการ</a:t>
          </a:r>
        </a:p>
        <a:p>
          <a:pPr algn="l"/>
          <a:r>
            <a:rPr lang="th-TH" sz="2400" b="0" baseline="0">
              <a:solidFill>
                <a:schemeClr val="tx1"/>
              </a:solidFill>
              <a:latin typeface="+mn-lt"/>
              <a:ea typeface="+mn-ea"/>
              <a:cs typeface="+mn-cs"/>
            </a:rPr>
            <a:t>หรือโครงการ</a:t>
          </a:r>
        </a:p>
        <a:p>
          <a:pPr algn="l"/>
          <a:r>
            <a:rPr lang="th-TH" sz="2400" b="0" baseline="0">
              <a:solidFill>
                <a:schemeClr val="tx1"/>
              </a:solidFill>
              <a:latin typeface="+mn-lt"/>
              <a:ea typeface="+mn-ea"/>
              <a:cs typeface="+mn-cs"/>
            </a:rPr>
            <a:t>เครื่องมือ </a:t>
          </a:r>
        </a:p>
        <a:p>
          <a:pPr algn="l"/>
          <a:r>
            <a:rPr lang="th-TH" sz="2400" b="0" baseline="0">
              <a:solidFill>
                <a:schemeClr val="tx1"/>
              </a:solidFill>
              <a:latin typeface="+mn-lt"/>
              <a:ea typeface="+mn-ea"/>
              <a:cs typeface="+mn-cs"/>
            </a:rPr>
            <a:t>ที่จะนำมาปฏิบัติเพื่อให้ </a:t>
          </a:r>
          <a:r>
            <a:rPr lang="en-US" sz="2400" b="0" baseline="0">
              <a:solidFill>
                <a:schemeClr val="tx1"/>
              </a:solidFill>
              <a:latin typeface="+mn-lt"/>
              <a:ea typeface="+mn-ea"/>
              <a:cs typeface="+mn-cs"/>
            </a:rPr>
            <a:t>MBO </a:t>
          </a:r>
          <a:r>
            <a:rPr lang="th-TH" sz="2400" b="0" baseline="0">
              <a:solidFill>
                <a:schemeClr val="tx1"/>
              </a:solidFill>
              <a:latin typeface="+mn-lt"/>
              <a:ea typeface="+mn-ea"/>
              <a:cs typeface="+mn-cs"/>
            </a:rPr>
            <a:t>ที่กำหนดไว้ประสบความสำเร็จ</a:t>
          </a:r>
          <a:endParaRPr lang="en-US" sz="2400" b="0" baseline="0">
            <a:solidFill>
              <a:schemeClr val="tx1"/>
            </a:solidFill>
            <a:latin typeface="+mn-lt"/>
            <a:ea typeface="+mn-ea"/>
            <a:cs typeface="+mn-cs"/>
          </a:endParaRPr>
        </a:p>
        <a:p>
          <a:pPr algn="l"/>
          <a:r>
            <a:rPr lang="th-TH" sz="2400" b="1" baseline="0">
              <a:solidFill>
                <a:srgbClr val="FF0000"/>
              </a:solidFill>
              <a:latin typeface="+mn-lt"/>
              <a:ea typeface="+mn-ea"/>
              <a:cs typeface="+mn-cs"/>
            </a:rPr>
            <a:t>ที่จะทำในครึ่งปีหลัง</a:t>
          </a:r>
          <a:endParaRPr lang="en-US" sz="2400" b="1" baseline="0">
            <a:solidFill>
              <a:srgbClr val="FF0000"/>
            </a:solidFill>
            <a:latin typeface="+mn-lt"/>
            <a:ea typeface="+mn-ea"/>
            <a:cs typeface="+mn-cs"/>
          </a:endParaRPr>
        </a:p>
        <a:p>
          <a:pPr algn="l"/>
          <a:r>
            <a:rPr lang="th-TH" sz="2400" b="1" baseline="0">
              <a:solidFill>
                <a:srgbClr val="FF0000"/>
              </a:solidFill>
              <a:latin typeface="+mn-lt"/>
              <a:ea typeface="+mn-ea"/>
              <a:cs typeface="+mn-cs"/>
            </a:rPr>
            <a:t> (ก.ค. - ธ.ค.)</a:t>
          </a:r>
          <a:endParaRPr lang="en-US" sz="2400" b="1" baseline="0">
            <a:solidFill>
              <a:srgbClr val="FF0000"/>
            </a:solidFill>
            <a:latin typeface="+mn-lt"/>
            <a:ea typeface="+mn-ea"/>
            <a:cs typeface="+mn-cs"/>
          </a:endParaRPr>
        </a:p>
      </xdr:txBody>
    </xdr:sp>
    <xdr:clientData/>
  </xdr:twoCellAnchor>
  <xdr:twoCellAnchor>
    <xdr:from>
      <xdr:col>28</xdr:col>
      <xdr:colOff>96393</xdr:colOff>
      <xdr:row>37</xdr:row>
      <xdr:rowOff>65690</xdr:rowOff>
    </xdr:from>
    <xdr:to>
      <xdr:col>28</xdr:col>
      <xdr:colOff>1497761</xdr:colOff>
      <xdr:row>59</xdr:row>
      <xdr:rowOff>282783</xdr:rowOff>
    </xdr:to>
    <xdr:sp macro="" textlink="">
      <xdr:nvSpPr>
        <xdr:cNvPr id="109" name="Rectangle 108">
          <a:extLst>
            <a:ext uri="{FF2B5EF4-FFF2-40B4-BE49-F238E27FC236}">
              <a16:creationId xmlns:a16="http://schemas.microsoft.com/office/drawing/2014/main" id="{28C5042F-974D-406B-9685-D28A17069C4B}"/>
            </a:ext>
          </a:extLst>
        </xdr:cNvPr>
        <xdr:cNvSpPr/>
      </xdr:nvSpPr>
      <xdr:spPr>
        <a:xfrm>
          <a:off x="36532255" y="20057242"/>
          <a:ext cx="1401368" cy="6479507"/>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1" baseline="0">
              <a:solidFill>
                <a:schemeClr val="tx1"/>
              </a:solidFill>
              <a:latin typeface="+mn-lt"/>
              <a:ea typeface="+mn-ea"/>
              <a:cs typeface="+mn-cs"/>
            </a:rPr>
            <a:t>วันที่เริ่มทำ </a:t>
          </a:r>
        </a:p>
        <a:p>
          <a:pPr algn="l"/>
          <a:endParaRPr lang="th-TH" sz="2400" b="1" baseline="0">
            <a:solidFill>
              <a:schemeClr val="tx1"/>
            </a:solidFill>
            <a:latin typeface="+mn-lt"/>
            <a:ea typeface="+mn-ea"/>
            <a:cs typeface="+mn-cs"/>
          </a:endParaRPr>
        </a:p>
        <a:p>
          <a:pPr algn="l"/>
          <a:r>
            <a:rPr lang="th-TH" sz="2400" b="1" baseline="0">
              <a:solidFill>
                <a:schemeClr val="tx1"/>
              </a:solidFill>
              <a:latin typeface="+mn-lt"/>
              <a:ea typeface="+mn-ea"/>
              <a:cs typeface="+mn-cs"/>
            </a:rPr>
            <a:t>กับ</a:t>
          </a:r>
        </a:p>
        <a:p>
          <a:pPr algn="l"/>
          <a:endParaRPr lang="th-TH" sz="2400" b="1" baseline="0">
            <a:solidFill>
              <a:schemeClr val="tx1"/>
            </a:solidFill>
            <a:latin typeface="+mn-lt"/>
            <a:ea typeface="+mn-ea"/>
            <a:cs typeface="+mn-cs"/>
          </a:endParaRPr>
        </a:p>
        <a:p>
          <a:pPr algn="l"/>
          <a:r>
            <a:rPr lang="th-TH" sz="2400" b="1" baseline="0">
              <a:solidFill>
                <a:schemeClr val="tx1"/>
              </a:solidFill>
              <a:latin typeface="+mn-lt"/>
              <a:ea typeface="+mn-ea"/>
              <a:cs typeface="+mn-cs"/>
            </a:rPr>
            <a:t>วันที่จะแล้วเสร็จ</a:t>
          </a:r>
        </a:p>
      </xdr:txBody>
    </xdr:sp>
    <xdr:clientData/>
  </xdr:twoCellAnchor>
  <xdr:twoCellAnchor>
    <xdr:from>
      <xdr:col>29</xdr:col>
      <xdr:colOff>429006</xdr:colOff>
      <xdr:row>37</xdr:row>
      <xdr:rowOff>17639</xdr:rowOff>
    </xdr:from>
    <xdr:to>
      <xdr:col>31</xdr:col>
      <xdr:colOff>1260503</xdr:colOff>
      <xdr:row>59</xdr:row>
      <xdr:rowOff>234732</xdr:rowOff>
    </xdr:to>
    <xdr:sp macro="" textlink="">
      <xdr:nvSpPr>
        <xdr:cNvPr id="111" name="Rectangle 110">
          <a:extLst>
            <a:ext uri="{FF2B5EF4-FFF2-40B4-BE49-F238E27FC236}">
              <a16:creationId xmlns:a16="http://schemas.microsoft.com/office/drawing/2014/main" id="{766FC8E6-CBAF-4F14-AB06-D5C988AACCA3}"/>
            </a:ext>
          </a:extLst>
        </xdr:cNvPr>
        <xdr:cNvSpPr/>
      </xdr:nvSpPr>
      <xdr:spPr>
        <a:xfrm>
          <a:off x="38458450" y="20143611"/>
          <a:ext cx="3583164" cy="6425982"/>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chemeClr val="tx1"/>
              </a:solidFill>
              <a:latin typeface="+mn-lt"/>
              <a:ea typeface="+mn-ea"/>
              <a:cs typeface="+mn-cs"/>
            </a:rPr>
            <a:t>ตัวชี้วัดแต่ละระดับ</a:t>
          </a:r>
        </a:p>
        <a:p>
          <a:pPr algn="l"/>
          <a:endParaRPr lang="th-TH" sz="2400" b="0" baseline="0">
            <a:solidFill>
              <a:schemeClr val="tx1"/>
            </a:solidFill>
            <a:latin typeface="+mn-lt"/>
            <a:ea typeface="+mn-ea"/>
            <a:cs typeface="+mn-cs"/>
          </a:endParaRPr>
        </a:p>
        <a:p>
          <a:pPr algn="l"/>
          <a:r>
            <a:rPr lang="en-US" sz="2400" b="0" baseline="0">
              <a:solidFill>
                <a:schemeClr val="tx1"/>
              </a:solidFill>
              <a:latin typeface="+mn-lt"/>
              <a:ea typeface="+mn-ea"/>
              <a:cs typeface="+mn-cs"/>
            </a:rPr>
            <a:t>5:</a:t>
          </a:r>
          <a:r>
            <a:rPr lang="th-TH" sz="2400" b="0" baseline="0">
              <a:solidFill>
                <a:schemeClr val="tx1"/>
              </a:solidFill>
              <a:latin typeface="+mn-lt"/>
              <a:ea typeface="+mn-ea"/>
              <a:cs typeface="+mn-cs"/>
            </a:rPr>
            <a:t> เกินกว่าที่คาดหวังไปมาก</a:t>
          </a:r>
          <a:r>
            <a:rPr lang="en-US" sz="2400" b="0" baseline="0">
              <a:solidFill>
                <a:schemeClr val="tx1"/>
              </a:solidFill>
              <a:latin typeface="+mn-lt"/>
              <a:ea typeface="+mn-ea"/>
              <a:cs typeface="+mn-cs"/>
            </a:rPr>
            <a:t> (&gt; 110%)</a:t>
          </a:r>
          <a:endParaRPr lang="th-TH" sz="2400" b="0" baseline="0">
            <a:solidFill>
              <a:schemeClr val="tx1"/>
            </a:solidFill>
            <a:latin typeface="+mn-lt"/>
            <a:ea typeface="+mn-ea"/>
            <a:cs typeface="+mn-cs"/>
          </a:endParaRPr>
        </a:p>
        <a:p>
          <a:pPr algn="l"/>
          <a:r>
            <a:rPr lang="en-US" sz="2400" b="0" baseline="0">
              <a:solidFill>
                <a:schemeClr val="tx1"/>
              </a:solidFill>
              <a:latin typeface="+mn-lt"/>
              <a:ea typeface="+mn-ea"/>
              <a:cs typeface="+mn-cs"/>
            </a:rPr>
            <a:t>4:</a:t>
          </a:r>
          <a:r>
            <a:rPr lang="th-TH" sz="2400" b="0" baseline="0">
              <a:solidFill>
                <a:schemeClr val="tx1"/>
              </a:solidFill>
              <a:latin typeface="+mn-lt"/>
              <a:ea typeface="+mn-ea"/>
              <a:cs typeface="+mn-cs"/>
            </a:rPr>
            <a:t> เกินกว่าความคาดหวัง</a:t>
          </a:r>
          <a:r>
            <a:rPr lang="en-US" sz="2400" b="0" baseline="0">
              <a:solidFill>
                <a:schemeClr val="tx1"/>
              </a:solidFill>
              <a:latin typeface="+mn-lt"/>
              <a:ea typeface="+mn-ea"/>
              <a:cs typeface="+mn-cs"/>
            </a:rPr>
            <a:t> (110%)</a:t>
          </a:r>
          <a:endParaRPr lang="th-TH" sz="2400" b="0" baseline="0">
            <a:solidFill>
              <a:schemeClr val="tx1"/>
            </a:solidFill>
            <a:latin typeface="+mn-lt"/>
            <a:ea typeface="+mn-ea"/>
            <a:cs typeface="+mn-cs"/>
          </a:endParaRPr>
        </a:p>
        <a:p>
          <a:pPr algn="l"/>
          <a:r>
            <a:rPr lang="en-US" sz="2400" b="1" baseline="0">
              <a:solidFill>
                <a:srgbClr val="FF0000"/>
              </a:solidFill>
              <a:latin typeface="+mn-lt"/>
              <a:ea typeface="+mn-ea"/>
              <a:cs typeface="+mn-cs"/>
            </a:rPr>
            <a:t>3: </a:t>
          </a:r>
          <a:r>
            <a:rPr lang="th-TH" sz="2400" b="1" baseline="0">
              <a:solidFill>
                <a:srgbClr val="FF0000"/>
              </a:solidFill>
              <a:latin typeface="+mn-lt"/>
              <a:ea typeface="+mn-ea"/>
              <a:cs typeface="+mn-cs"/>
            </a:rPr>
            <a:t>คือความคาดหวังที่ </a:t>
          </a:r>
          <a:r>
            <a:rPr lang="en-US" sz="2400" b="1" baseline="0">
              <a:solidFill>
                <a:srgbClr val="FF0000"/>
              </a:solidFill>
              <a:latin typeface="+mn-lt"/>
              <a:ea typeface="+mn-ea"/>
              <a:cs typeface="+mn-cs"/>
            </a:rPr>
            <a:t>Company, Division, Department, Section </a:t>
          </a:r>
          <a:r>
            <a:rPr lang="th-TH" sz="2400" b="1" baseline="0">
              <a:solidFill>
                <a:srgbClr val="FF0000"/>
              </a:solidFill>
              <a:latin typeface="+mn-lt"/>
              <a:ea typeface="+mn-ea"/>
              <a:cs typeface="+mn-cs"/>
            </a:rPr>
            <a:t>อยากได้ หรืออยากทำให้ประสุบผลสำเร็จ </a:t>
          </a:r>
          <a:r>
            <a:rPr lang="en-US" sz="2400" b="1" baseline="0">
              <a:solidFill>
                <a:srgbClr val="FF0000"/>
              </a:solidFill>
              <a:latin typeface="+mn-lt"/>
              <a:ea typeface="+mn-ea"/>
              <a:cs typeface="+mn-cs"/>
            </a:rPr>
            <a:t>(100%)</a:t>
          </a:r>
        </a:p>
        <a:p>
          <a:pPr algn="l"/>
          <a:r>
            <a:rPr lang="en-US" sz="2400" b="0" baseline="0">
              <a:solidFill>
                <a:schemeClr val="tx1"/>
              </a:solidFill>
              <a:latin typeface="+mn-lt"/>
              <a:ea typeface="+mn-ea"/>
              <a:cs typeface="+mn-cs"/>
            </a:rPr>
            <a:t>2:</a:t>
          </a:r>
          <a:r>
            <a:rPr lang="th-TH" sz="2400" b="0" baseline="0">
              <a:solidFill>
                <a:schemeClr val="tx1"/>
              </a:solidFill>
              <a:latin typeface="+mn-lt"/>
              <a:ea typeface="+mn-ea"/>
              <a:cs typeface="+mn-cs"/>
            </a:rPr>
            <a:t> ต่ำกว่าที่คาดหวังเล็กน้อย</a:t>
          </a:r>
          <a:r>
            <a:rPr lang="en-US" sz="2400" b="0" baseline="0">
              <a:solidFill>
                <a:schemeClr val="tx1"/>
              </a:solidFill>
              <a:latin typeface="+mn-lt"/>
              <a:ea typeface="+mn-ea"/>
              <a:cs typeface="+mn-cs"/>
            </a:rPr>
            <a:t> (95%)</a:t>
          </a:r>
        </a:p>
        <a:p>
          <a:pPr algn="l"/>
          <a:r>
            <a:rPr lang="en-US" sz="2400" b="0" baseline="0">
              <a:solidFill>
                <a:schemeClr val="tx1"/>
              </a:solidFill>
              <a:latin typeface="+mn-lt"/>
              <a:ea typeface="+mn-ea"/>
              <a:cs typeface="+mn-cs"/>
            </a:rPr>
            <a:t>1:</a:t>
          </a:r>
          <a:r>
            <a:rPr lang="th-TH" sz="2400" b="0" baseline="0">
              <a:solidFill>
                <a:schemeClr val="tx1"/>
              </a:solidFill>
              <a:latin typeface="+mn-lt"/>
              <a:ea typeface="+mn-ea"/>
              <a:cs typeface="+mn-cs"/>
            </a:rPr>
            <a:t> ต่ำกว่าที่คาดหวังไปมาก</a:t>
          </a:r>
          <a:r>
            <a:rPr lang="en-US" sz="2400" b="0" baseline="0">
              <a:solidFill>
                <a:schemeClr val="tx1"/>
              </a:solidFill>
              <a:latin typeface="+mn-lt"/>
              <a:ea typeface="+mn-ea"/>
              <a:cs typeface="+mn-cs"/>
            </a:rPr>
            <a:t> (&lt; 95%)</a:t>
          </a:r>
          <a:endParaRPr lang="th-TH" sz="2400" b="0" baseline="0">
            <a:solidFill>
              <a:schemeClr val="tx1"/>
            </a:solidFill>
            <a:latin typeface="+mn-lt"/>
            <a:ea typeface="+mn-ea"/>
            <a:cs typeface="+mn-cs"/>
          </a:endParaRPr>
        </a:p>
        <a:p>
          <a:pPr algn="l"/>
          <a:endParaRPr lang="th-TH" sz="2400" b="0" baseline="0">
            <a:solidFill>
              <a:schemeClr val="tx1"/>
            </a:solidFill>
            <a:latin typeface="+mn-lt"/>
            <a:ea typeface="+mn-ea"/>
            <a:cs typeface="+mn-cs"/>
          </a:endParaRPr>
        </a:p>
        <a:p>
          <a:pPr algn="l"/>
          <a:endParaRPr lang="th-TH" sz="2400" b="0" baseline="0">
            <a:solidFill>
              <a:schemeClr val="tx1"/>
            </a:solidFill>
            <a:latin typeface="+mn-lt"/>
            <a:ea typeface="+mn-ea"/>
            <a:cs typeface="+mn-cs"/>
          </a:endParaRPr>
        </a:p>
        <a:p>
          <a:pPr algn="l"/>
          <a:endParaRPr lang="en-US" sz="2400" b="1" baseline="0">
            <a:solidFill>
              <a:schemeClr val="tx1"/>
            </a:solidFill>
            <a:latin typeface="+mn-lt"/>
            <a:ea typeface="+mn-ea"/>
            <a:cs typeface="+mn-cs"/>
          </a:endParaRPr>
        </a:p>
      </xdr:txBody>
    </xdr:sp>
    <xdr:clientData/>
  </xdr:twoCellAnchor>
  <xdr:twoCellAnchor>
    <xdr:from>
      <xdr:col>32</xdr:col>
      <xdr:colOff>289500</xdr:colOff>
      <xdr:row>37</xdr:row>
      <xdr:rowOff>57728</xdr:rowOff>
    </xdr:from>
    <xdr:to>
      <xdr:col>34</xdr:col>
      <xdr:colOff>1305278</xdr:colOff>
      <xdr:row>60</xdr:row>
      <xdr:rowOff>20651</xdr:rowOff>
    </xdr:to>
    <xdr:sp macro="" textlink="">
      <xdr:nvSpPr>
        <xdr:cNvPr id="112" name="Rectangle 111">
          <a:extLst>
            <a:ext uri="{FF2B5EF4-FFF2-40B4-BE49-F238E27FC236}">
              <a16:creationId xmlns:a16="http://schemas.microsoft.com/office/drawing/2014/main" id="{C91EF63F-5C94-4973-8956-1BBAEC6B747E}"/>
            </a:ext>
          </a:extLst>
        </xdr:cNvPr>
        <xdr:cNvSpPr/>
      </xdr:nvSpPr>
      <xdr:spPr>
        <a:xfrm>
          <a:off x="42446444" y="20183700"/>
          <a:ext cx="3767445" cy="6454034"/>
        </a:xfrm>
        <a:prstGeom prst="rect">
          <a:avLst/>
        </a:prstGeom>
        <a:solidFill>
          <a:srgbClr val="CCFFCC"/>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chemeClr val="tx1"/>
              </a:solidFill>
              <a:latin typeface="+mn-lt"/>
              <a:ea typeface="+mn-ea"/>
              <a:cs typeface="+mn-cs"/>
            </a:rPr>
            <a:t>เมื่อใกล้ถึงรอบการประเมินผล</a:t>
          </a:r>
        </a:p>
        <a:p>
          <a:pPr marL="0" marR="0" lvl="0" indent="0" algn="l" defTabSz="914400" eaLnBrk="1" fontAlgn="auto" latinLnBrk="0" hangingPunct="1">
            <a:lnSpc>
              <a:spcPct val="100000"/>
            </a:lnSpc>
            <a:spcBef>
              <a:spcPts val="0"/>
            </a:spcBef>
            <a:spcAft>
              <a:spcPts val="0"/>
            </a:spcAft>
            <a:buClrTx/>
            <a:buSzTx/>
            <a:buFontTx/>
            <a:buNone/>
            <a:tabLst/>
            <a:defRPr/>
          </a:pPr>
          <a:r>
            <a:rPr lang="th-TH" sz="2400" b="0" baseline="0">
              <a:solidFill>
                <a:schemeClr val="tx1"/>
              </a:solidFill>
              <a:latin typeface="+mn-lt"/>
              <a:ea typeface="+mn-ea"/>
              <a:cs typeface="+mn-cs"/>
            </a:rPr>
            <a:t>โบนัสปลายปี (รอบประเมิน</a:t>
          </a:r>
          <a:r>
            <a:rPr lang="en-US" sz="2400" b="0" baseline="0">
              <a:solidFill>
                <a:schemeClr val="tx1"/>
              </a:solidFill>
              <a:latin typeface="+mn-lt"/>
              <a:ea typeface="+mn-ea"/>
              <a:cs typeface="+mn-cs"/>
            </a:rPr>
            <a:t>: </a:t>
          </a:r>
          <a:r>
            <a:rPr lang="th-TH" sz="2400" b="0" baseline="0">
              <a:solidFill>
                <a:schemeClr val="tx1"/>
              </a:solidFill>
              <a:latin typeface="+mn-lt"/>
              <a:ea typeface="+mn-ea"/>
              <a:cs typeface="+mn-cs"/>
            </a:rPr>
            <a:t>ก.ค. - ธ.ค.)</a:t>
          </a:r>
        </a:p>
        <a:p>
          <a:pPr algn="l"/>
          <a:r>
            <a:rPr lang="th-TH" sz="2400" b="1" baseline="0">
              <a:solidFill>
                <a:srgbClr val="FF0000"/>
              </a:solidFill>
              <a:latin typeface="+mn-lt"/>
              <a:ea typeface="+mn-ea"/>
              <a:cs typeface="+mn-cs"/>
            </a:rPr>
            <a:t>ตั้งแต่  วันที่ </a:t>
          </a:r>
          <a:r>
            <a:rPr lang="en-US" sz="2400" b="1" baseline="0">
              <a:solidFill>
                <a:srgbClr val="FF0000"/>
              </a:solidFill>
              <a:latin typeface="+mn-lt"/>
              <a:ea typeface="+mn-ea"/>
              <a:cs typeface="+mn-cs"/>
            </a:rPr>
            <a:t>1 </a:t>
          </a:r>
          <a:r>
            <a:rPr lang="th-TH" sz="2400" b="1" baseline="0">
              <a:solidFill>
                <a:srgbClr val="FF0000"/>
              </a:solidFill>
              <a:latin typeface="+mn-lt"/>
              <a:ea typeface="+mn-ea"/>
              <a:cs typeface="+mn-cs"/>
            </a:rPr>
            <a:t>พ.ย.</a:t>
          </a:r>
          <a:r>
            <a:rPr lang="en-US" sz="2400" b="1" baseline="0">
              <a:solidFill>
                <a:srgbClr val="FF0000"/>
              </a:solidFill>
              <a:latin typeface="+mn-lt"/>
              <a:ea typeface="+mn-ea"/>
              <a:cs typeface="+mn-cs"/>
            </a:rPr>
            <a:t> </a:t>
          </a:r>
          <a:endParaRPr lang="th-TH" sz="2400" b="1" baseline="0">
            <a:solidFill>
              <a:srgbClr val="FF0000"/>
            </a:solidFill>
            <a:latin typeface="+mn-lt"/>
            <a:ea typeface="+mn-ea"/>
            <a:cs typeface="+mn-cs"/>
          </a:endParaRPr>
        </a:p>
        <a:p>
          <a:pPr algn="l"/>
          <a:r>
            <a:rPr lang="th-TH" sz="2400" b="1" u="sng" baseline="0">
              <a:solidFill>
                <a:schemeClr val="tx1"/>
              </a:solidFill>
              <a:latin typeface="+mn-lt"/>
              <a:ea typeface="+mn-ea"/>
              <a:cs typeface="+mn-cs"/>
            </a:rPr>
            <a:t>พนักงาน </a:t>
          </a:r>
          <a:r>
            <a:rPr lang="en-US" sz="2400" b="1" u="sng" baseline="0">
              <a:solidFill>
                <a:schemeClr val="tx1"/>
              </a:solidFill>
              <a:latin typeface="+mn-lt"/>
              <a:ea typeface="+mn-ea"/>
              <a:cs typeface="+mn-cs"/>
            </a:rPr>
            <a:t>: </a:t>
          </a:r>
          <a:r>
            <a:rPr lang="th-TH" sz="2400" b="1" u="sng" baseline="0">
              <a:solidFill>
                <a:schemeClr val="tx1"/>
              </a:solidFill>
              <a:latin typeface="+mn-lt"/>
              <a:ea typeface="+mn-ea"/>
              <a:cs typeface="+mn-cs"/>
            </a:rPr>
            <a:t>ผู้ถูกประเมิน</a:t>
          </a:r>
        </a:p>
        <a:p>
          <a:pPr algn="l"/>
          <a:r>
            <a:rPr lang="en-US" sz="4000" b="0" baseline="0">
              <a:solidFill>
                <a:schemeClr val="tx1"/>
              </a:solidFill>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พนักงานจะบันทึกผลของความสำเร็จ</a:t>
          </a:r>
          <a:r>
            <a:rPr lang="en-US" sz="2400" b="0" baseline="0">
              <a:solidFill>
                <a:schemeClr val="tx1"/>
              </a:solidFill>
              <a:latin typeface="+mn-lt"/>
              <a:ea typeface="+mn-ea"/>
              <a:cs typeface="+mn-cs"/>
            </a:rPr>
            <a:t> + </a:t>
          </a:r>
          <a:r>
            <a:rPr lang="th-TH" sz="2400" b="0" baseline="0">
              <a:solidFill>
                <a:schemeClr val="tx1"/>
              </a:solidFill>
              <a:latin typeface="+mn-lt"/>
              <a:ea typeface="+mn-ea"/>
              <a:cs typeface="+mn-cs"/>
            </a:rPr>
            <a:t>หลักฐานของการดำเนินการ (เอกสาร, บันทึก, รูปภาพ, อื่นๆ) </a:t>
          </a:r>
        </a:p>
        <a:p>
          <a:pPr algn="l"/>
          <a:r>
            <a:rPr lang="en-US" sz="4000" b="0" baseline="0">
              <a:solidFill>
                <a:schemeClr val="tx1"/>
              </a:solidFill>
              <a:latin typeface="+mn-lt"/>
              <a:ea typeface="+mn-ea"/>
              <a:cs typeface="+mn-cs"/>
              <a:sym typeface="Wingdings 2" panose="05020102010507070707" pitchFamily="18" charset="2"/>
            </a:rPr>
            <a:t></a:t>
          </a:r>
          <a:r>
            <a:rPr lang="th-TH" sz="2400" b="0" baseline="0">
              <a:solidFill>
                <a:srgbClr val="7030A0"/>
              </a:solidFill>
              <a:latin typeface="+mn-lt"/>
              <a:ea typeface="+mn-ea"/>
              <a:cs typeface="+mn-cs"/>
            </a:rPr>
            <a:t>พนักงานประเมินตนเอง ให้คะแนน </a:t>
          </a:r>
          <a:r>
            <a:rPr lang="en-US" sz="2400" b="0" baseline="0">
              <a:solidFill>
                <a:srgbClr val="7030A0"/>
              </a:solidFill>
              <a:latin typeface="+mn-lt"/>
              <a:ea typeface="+mn-ea"/>
              <a:cs typeface="+mn-cs"/>
            </a:rPr>
            <a:t>1-5</a:t>
          </a:r>
          <a:r>
            <a:rPr lang="th-TH" sz="2400" b="0" baseline="0">
              <a:solidFill>
                <a:srgbClr val="7030A0"/>
              </a:solidFill>
              <a:latin typeface="+mn-lt"/>
              <a:ea typeface="+mn-ea"/>
              <a:cs typeface="+mn-cs"/>
            </a:rPr>
            <a:t> และ บันทึกตัวเลขของผลลัพธ์ หรือผลงานที่เกิดขึ้น</a:t>
          </a:r>
        </a:p>
        <a:p>
          <a:pPr algn="l"/>
          <a:endParaRPr lang="en-US" sz="2400" b="1" baseline="0">
            <a:solidFill>
              <a:schemeClr val="tx1"/>
            </a:solidFill>
            <a:latin typeface="+mn-lt"/>
            <a:ea typeface="+mn-ea"/>
            <a:cs typeface="+mn-cs"/>
          </a:endParaRPr>
        </a:p>
      </xdr:txBody>
    </xdr:sp>
    <xdr:clientData/>
  </xdr:twoCellAnchor>
  <xdr:twoCellAnchor>
    <xdr:from>
      <xdr:col>34</xdr:col>
      <xdr:colOff>749320</xdr:colOff>
      <xdr:row>50</xdr:row>
      <xdr:rowOff>20650</xdr:rowOff>
    </xdr:from>
    <xdr:to>
      <xdr:col>34</xdr:col>
      <xdr:colOff>1323437</xdr:colOff>
      <xdr:row>56</xdr:row>
      <xdr:rowOff>101533</xdr:rowOff>
    </xdr:to>
    <xdr:sp macro="" textlink="">
      <xdr:nvSpPr>
        <xdr:cNvPr id="113" name="Right Brace 112">
          <a:extLst>
            <a:ext uri="{FF2B5EF4-FFF2-40B4-BE49-F238E27FC236}">
              <a16:creationId xmlns:a16="http://schemas.microsoft.com/office/drawing/2014/main" id="{D705D9FA-A18E-4D34-BD70-F62ECF361314}"/>
            </a:ext>
          </a:extLst>
        </xdr:cNvPr>
        <xdr:cNvSpPr/>
      </xdr:nvSpPr>
      <xdr:spPr>
        <a:xfrm>
          <a:off x="45615354" y="23712719"/>
          <a:ext cx="574117" cy="1788814"/>
        </a:xfrm>
        <a:prstGeom prst="rightBrace">
          <a:avLst>
            <a:gd name="adj1" fmla="val 73170"/>
            <a:gd name="adj2" fmla="val 50000"/>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35</xdr:col>
      <xdr:colOff>1156816</xdr:colOff>
      <xdr:row>44</xdr:row>
      <xdr:rowOff>86044</xdr:rowOff>
    </xdr:from>
    <xdr:to>
      <xdr:col>38</xdr:col>
      <xdr:colOff>218965</xdr:colOff>
      <xdr:row>50</xdr:row>
      <xdr:rowOff>256410</xdr:rowOff>
    </xdr:to>
    <xdr:sp macro="" textlink="">
      <xdr:nvSpPr>
        <xdr:cNvPr id="116" name="Rectangle 115">
          <a:extLst>
            <a:ext uri="{FF2B5EF4-FFF2-40B4-BE49-F238E27FC236}">
              <a16:creationId xmlns:a16="http://schemas.microsoft.com/office/drawing/2014/main" id="{7F0F1988-1983-4A29-828A-80A97AECAA50}"/>
            </a:ext>
          </a:extLst>
        </xdr:cNvPr>
        <xdr:cNvSpPr/>
      </xdr:nvSpPr>
      <xdr:spPr>
        <a:xfrm>
          <a:off x="47402333" y="22070182"/>
          <a:ext cx="2631287" cy="1878297"/>
        </a:xfrm>
        <a:prstGeom prst="rect">
          <a:avLst/>
        </a:prstGeom>
        <a:solidFill>
          <a:srgbClr val="CCFFCC"/>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rgbClr val="7030A0"/>
              </a:solidFill>
              <a:latin typeface="+mn-lt"/>
              <a:ea typeface="+mn-ea"/>
              <a:cs typeface="+mn-cs"/>
            </a:rPr>
            <a:t>คะแนนประเมิน (อิงเกณฑ์) ที่กำหนดไว้ในขั้นตอนที่ </a:t>
          </a:r>
          <a:r>
            <a:rPr lang="en-US" sz="2400" b="0" baseline="0">
              <a:solidFill>
                <a:srgbClr val="7030A0"/>
              </a:solidFill>
              <a:latin typeface="+mn-lt"/>
              <a:ea typeface="+mn-ea"/>
              <a:cs typeface="+mn-cs"/>
            </a:rPr>
            <a:t>10*</a:t>
          </a:r>
        </a:p>
      </xdr:txBody>
    </xdr:sp>
    <xdr:clientData/>
  </xdr:twoCellAnchor>
  <xdr:twoCellAnchor>
    <xdr:from>
      <xdr:col>36</xdr:col>
      <xdr:colOff>897759</xdr:colOff>
      <xdr:row>54</xdr:row>
      <xdr:rowOff>156600</xdr:rowOff>
    </xdr:from>
    <xdr:to>
      <xdr:col>39</xdr:col>
      <xdr:colOff>372241</xdr:colOff>
      <xdr:row>61</xdr:row>
      <xdr:rowOff>44743</xdr:rowOff>
    </xdr:to>
    <xdr:sp macro="" textlink="">
      <xdr:nvSpPr>
        <xdr:cNvPr id="117" name="Rectangle 116">
          <a:extLst>
            <a:ext uri="{FF2B5EF4-FFF2-40B4-BE49-F238E27FC236}">
              <a16:creationId xmlns:a16="http://schemas.microsoft.com/office/drawing/2014/main" id="{165EDD2A-DA68-408B-ABDE-102EB5F8DB9E}"/>
            </a:ext>
          </a:extLst>
        </xdr:cNvPr>
        <xdr:cNvSpPr/>
      </xdr:nvSpPr>
      <xdr:spPr>
        <a:xfrm>
          <a:off x="48435173" y="24987290"/>
          <a:ext cx="2890344" cy="1880729"/>
        </a:xfrm>
        <a:prstGeom prst="rect">
          <a:avLst/>
        </a:prstGeom>
        <a:solidFill>
          <a:srgbClr val="CCFFCC"/>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rgbClr val="7030A0"/>
              </a:solidFill>
              <a:latin typeface="+mn-lt"/>
              <a:ea typeface="+mn-ea"/>
              <a:cs typeface="+mn-cs"/>
            </a:rPr>
            <a:t>ผลลัพธ์ หรือ ลักษณะของความสำเร็จ เป็นตัวเลขสะสม หรือ ค่าเฉลี่ยของผลลัพธ์รายเดือน</a:t>
          </a:r>
          <a:endParaRPr lang="en-US" sz="2400" b="0" baseline="0">
            <a:solidFill>
              <a:srgbClr val="7030A0"/>
            </a:solidFill>
            <a:latin typeface="+mn-lt"/>
            <a:ea typeface="+mn-ea"/>
            <a:cs typeface="+mn-cs"/>
          </a:endParaRPr>
        </a:p>
      </xdr:txBody>
    </xdr:sp>
    <xdr:clientData/>
  </xdr:twoCellAnchor>
  <xdr:twoCellAnchor>
    <xdr:from>
      <xdr:col>39</xdr:col>
      <xdr:colOff>534759</xdr:colOff>
      <xdr:row>32</xdr:row>
      <xdr:rowOff>240491</xdr:rowOff>
    </xdr:from>
    <xdr:to>
      <xdr:col>45</xdr:col>
      <xdr:colOff>568317</xdr:colOff>
      <xdr:row>60</xdr:row>
      <xdr:rowOff>128635</xdr:rowOff>
    </xdr:to>
    <xdr:sp macro="" textlink="">
      <xdr:nvSpPr>
        <xdr:cNvPr id="125" name="Rectangle 124">
          <a:extLst>
            <a:ext uri="{FF2B5EF4-FFF2-40B4-BE49-F238E27FC236}">
              <a16:creationId xmlns:a16="http://schemas.microsoft.com/office/drawing/2014/main" id="{F074719D-32D4-4BAB-9908-F5C643D15129}"/>
            </a:ext>
          </a:extLst>
        </xdr:cNvPr>
        <xdr:cNvSpPr/>
      </xdr:nvSpPr>
      <xdr:spPr>
        <a:xfrm>
          <a:off x="51493509" y="18955352"/>
          <a:ext cx="6806891" cy="7790366"/>
        </a:xfrm>
        <a:prstGeom prst="rect">
          <a:avLst/>
        </a:prstGeom>
        <a:solidFill>
          <a:srgbClr val="CCFFCC"/>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chemeClr val="tx1"/>
              </a:solidFill>
              <a:latin typeface="+mn-lt"/>
              <a:ea typeface="+mn-ea"/>
              <a:cs typeface="+mn-cs"/>
            </a:rPr>
            <a:t>เมื่อใกล้ถึงรอบการประเมินผล</a:t>
          </a:r>
        </a:p>
        <a:p>
          <a:pPr marL="0" marR="0" lvl="0" indent="0" algn="l" defTabSz="914400" eaLnBrk="1" fontAlgn="auto" latinLnBrk="0" hangingPunct="1">
            <a:lnSpc>
              <a:spcPct val="100000"/>
            </a:lnSpc>
            <a:spcBef>
              <a:spcPts val="0"/>
            </a:spcBef>
            <a:spcAft>
              <a:spcPts val="0"/>
            </a:spcAft>
            <a:buClrTx/>
            <a:buSzTx/>
            <a:buFontTx/>
            <a:buNone/>
            <a:tabLst/>
            <a:defRPr/>
          </a:pPr>
          <a:r>
            <a:rPr lang="th-TH" sz="2400" b="1" baseline="0">
              <a:solidFill>
                <a:srgbClr val="FF0000"/>
              </a:solidFill>
              <a:latin typeface="+mn-lt"/>
              <a:ea typeface="+mn-ea"/>
              <a:cs typeface="+mn-cs"/>
            </a:rPr>
            <a:t>โบนัสปลายปี (รอบประเมิน</a:t>
          </a:r>
          <a:r>
            <a:rPr lang="en-US" sz="2400" b="1" baseline="0">
              <a:solidFill>
                <a:srgbClr val="FF0000"/>
              </a:solidFill>
              <a:latin typeface="+mn-lt"/>
              <a:ea typeface="+mn-ea"/>
              <a:cs typeface="+mn-cs"/>
            </a:rPr>
            <a:t>: </a:t>
          </a:r>
          <a:r>
            <a:rPr lang="th-TH" sz="2400" b="1" baseline="0">
              <a:solidFill>
                <a:srgbClr val="FF0000"/>
              </a:solidFill>
              <a:latin typeface="+mn-lt"/>
              <a:ea typeface="+mn-ea"/>
              <a:cs typeface="+mn-cs"/>
            </a:rPr>
            <a:t>ก.ค. - ธ.ค.)</a:t>
          </a:r>
        </a:p>
        <a:p>
          <a:pPr algn="l"/>
          <a:r>
            <a:rPr lang="th-TH" sz="2400" b="1" baseline="0">
              <a:solidFill>
                <a:srgbClr val="FF0000"/>
              </a:solidFill>
              <a:latin typeface="+mn-lt"/>
              <a:ea typeface="+mn-ea"/>
              <a:cs typeface="+mn-cs"/>
            </a:rPr>
            <a:t>ตั้งแต่  วันที่ </a:t>
          </a:r>
          <a:r>
            <a:rPr lang="en-US" sz="2400" b="1" baseline="0">
              <a:solidFill>
                <a:srgbClr val="FF0000"/>
              </a:solidFill>
              <a:latin typeface="+mn-lt"/>
              <a:ea typeface="+mn-ea"/>
              <a:cs typeface="+mn-cs"/>
            </a:rPr>
            <a:t>1 </a:t>
          </a:r>
          <a:r>
            <a:rPr lang="th-TH" sz="2400" b="1" baseline="0">
              <a:solidFill>
                <a:srgbClr val="FF0000"/>
              </a:solidFill>
              <a:latin typeface="+mn-lt"/>
              <a:ea typeface="+mn-ea"/>
              <a:cs typeface="+mn-cs"/>
            </a:rPr>
            <a:t>พ.ย.</a:t>
          </a:r>
          <a:r>
            <a:rPr lang="en-US" sz="2400" b="1" baseline="0">
              <a:solidFill>
                <a:srgbClr val="FF0000"/>
              </a:solidFill>
              <a:latin typeface="+mn-lt"/>
              <a:ea typeface="+mn-ea"/>
              <a:cs typeface="+mn-cs"/>
            </a:rPr>
            <a:t> </a:t>
          </a:r>
          <a:endParaRPr lang="th-TH" sz="2400" b="1" baseline="0">
            <a:solidFill>
              <a:srgbClr val="FF0000"/>
            </a:solidFill>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th-TH" sz="2400" b="1" u="sng" baseline="0">
              <a:solidFill>
                <a:srgbClr val="FF0000"/>
              </a:solidFill>
              <a:latin typeface="+mn-lt"/>
              <a:ea typeface="+mn-ea"/>
              <a:cs typeface="+mn-cs"/>
            </a:rPr>
            <a:t>หัวหน้างาน </a:t>
          </a:r>
          <a:r>
            <a:rPr lang="en-US" sz="2400" b="1" u="sng" baseline="0">
              <a:solidFill>
                <a:srgbClr val="FF0000"/>
              </a:solidFill>
              <a:latin typeface="+mn-lt"/>
              <a:ea typeface="+mn-ea"/>
              <a:cs typeface="+mn-cs"/>
            </a:rPr>
            <a:t>: </a:t>
          </a:r>
          <a:r>
            <a:rPr lang="th-TH" sz="2400" b="1" u="sng" baseline="0">
              <a:solidFill>
                <a:srgbClr val="FF0000"/>
              </a:solidFill>
              <a:latin typeface="+mn-lt"/>
              <a:ea typeface="+mn-ea"/>
              <a:cs typeface="+mn-cs"/>
            </a:rPr>
            <a:t>ผู้ประเมินคนที่ </a:t>
          </a:r>
          <a:r>
            <a:rPr lang="en-US" sz="2400" b="1" u="sng" baseline="0">
              <a:solidFill>
                <a:srgbClr val="FF0000"/>
              </a:solidFill>
              <a:latin typeface="+mn-lt"/>
              <a:ea typeface="+mn-ea"/>
              <a:cs typeface="+mn-cs"/>
            </a:rPr>
            <a:t>1, </a:t>
          </a:r>
          <a:r>
            <a:rPr lang="th-TH" sz="2400" b="1" u="sng" baseline="0">
              <a:solidFill>
                <a:srgbClr val="FF0000"/>
              </a:solidFill>
              <a:latin typeface="+mn-lt"/>
              <a:ea typeface="+mn-ea"/>
              <a:cs typeface="+mn-cs"/>
            </a:rPr>
            <a:t>ผู้ประเมินคนที่ </a:t>
          </a:r>
          <a:r>
            <a:rPr lang="en-US" sz="2400" b="1" u="sng" baseline="0">
              <a:solidFill>
                <a:srgbClr val="FF0000"/>
              </a:solidFill>
              <a:latin typeface="+mn-lt"/>
              <a:ea typeface="+mn-ea"/>
              <a:cs typeface="+mn-cs"/>
            </a:rPr>
            <a:t>2</a:t>
          </a:r>
        </a:p>
        <a:p>
          <a:pPr algn="l"/>
          <a:r>
            <a:rPr lang="en-US" sz="3600" b="0" baseline="0">
              <a:solidFill>
                <a:schemeClr val="tx1"/>
              </a:solidFill>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หัวหน้างาน</a:t>
          </a:r>
          <a:r>
            <a:rPr lang="en-US" sz="2400" b="0" baseline="0">
              <a:solidFill>
                <a:schemeClr val="tx1"/>
              </a:solidFill>
              <a:latin typeface="+mn-lt"/>
              <a:ea typeface="+mn-ea"/>
              <a:cs typeface="+mn-cs"/>
            </a:rPr>
            <a:t> (</a:t>
          </a:r>
          <a:r>
            <a:rPr lang="th-TH" sz="2400" b="0" baseline="0">
              <a:solidFill>
                <a:schemeClr val="tx1"/>
              </a:solidFill>
              <a:latin typeface="+mn-lt"/>
              <a:ea typeface="+mn-ea"/>
              <a:cs typeface="+mn-cs"/>
            </a:rPr>
            <a:t>ผู้ประเมินคนที่ </a:t>
          </a:r>
          <a:r>
            <a:rPr lang="en-US" sz="2400" b="0" baseline="0">
              <a:solidFill>
                <a:schemeClr val="tx1"/>
              </a:solidFill>
              <a:latin typeface="+mn-lt"/>
              <a:ea typeface="+mn-ea"/>
              <a:cs typeface="+mn-cs"/>
            </a:rPr>
            <a:t>1) </a:t>
          </a:r>
          <a:r>
            <a:rPr lang="th-TH" sz="2400" b="0" baseline="0">
              <a:solidFill>
                <a:schemeClr val="tx1"/>
              </a:solidFill>
              <a:latin typeface="+mn-lt"/>
              <a:ea typeface="+mn-ea"/>
              <a:cs typeface="+mn-cs"/>
            </a:rPr>
            <a:t>จะทำตารางนัดเพื่อพูดคุยเพื่อทบทวนผลการทำงาน (ตามหัวข้อ </a:t>
          </a:r>
          <a:r>
            <a:rPr lang="en-US" sz="2400" b="0" baseline="0">
              <a:solidFill>
                <a:schemeClr val="tx1"/>
              </a:solidFill>
              <a:latin typeface="+mn-lt"/>
              <a:ea typeface="+mn-ea"/>
              <a:cs typeface="+mn-cs"/>
            </a:rPr>
            <a:t>MBO)</a:t>
          </a:r>
          <a:r>
            <a:rPr lang="th-TH" sz="2400" b="0" baseline="0">
              <a:solidFill>
                <a:schemeClr val="tx1"/>
              </a:solidFill>
              <a:latin typeface="+mn-lt"/>
              <a:ea typeface="+mn-ea"/>
              <a:cs typeface="+mn-cs"/>
            </a:rPr>
            <a:t> และพฤติกรรมการทำงาน (ตาม </a:t>
          </a:r>
          <a:r>
            <a:rPr lang="en-US" sz="2400" b="0" baseline="0">
              <a:solidFill>
                <a:schemeClr val="tx1"/>
              </a:solidFill>
              <a:latin typeface="+mn-lt"/>
              <a:ea typeface="+mn-ea"/>
              <a:cs typeface="+mn-cs"/>
            </a:rPr>
            <a:t>6 Factors)</a:t>
          </a:r>
        </a:p>
        <a:p>
          <a:pPr algn="l"/>
          <a:r>
            <a:rPr lang="th-TH" sz="4000" b="0" baseline="0">
              <a:solidFill>
                <a:schemeClr val="tx1"/>
              </a:solidFill>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ทบทวนความสำเร็จตามเป้าหมาย </a:t>
          </a:r>
          <a:r>
            <a:rPr lang="en-US" sz="2400" b="0" baseline="0">
              <a:solidFill>
                <a:schemeClr val="tx1"/>
              </a:solidFill>
              <a:latin typeface="+mn-lt"/>
              <a:ea typeface="+mn-ea"/>
              <a:cs typeface="+mn-cs"/>
            </a:rPr>
            <a:t>MBO </a:t>
          </a:r>
          <a:r>
            <a:rPr lang="th-TH" sz="2400" b="0" baseline="0">
              <a:solidFill>
                <a:schemeClr val="tx1"/>
              </a:solidFill>
              <a:latin typeface="+mn-lt"/>
              <a:ea typeface="+mn-ea"/>
              <a:cs typeface="+mn-cs"/>
            </a:rPr>
            <a:t>พูดคุย ซักถาม ถึงวิธีการบรรลุผลสำเร็จตามเป้าหมาย ขณะเดียวกันก็ประเมินพฤติกรรม </a:t>
          </a:r>
          <a:r>
            <a:rPr lang="en-US" sz="2400" b="0" baseline="0">
              <a:solidFill>
                <a:schemeClr val="tx1"/>
              </a:solidFill>
              <a:latin typeface="+mn-lt"/>
              <a:ea typeface="+mn-ea"/>
              <a:cs typeface="+mn-cs"/>
            </a:rPr>
            <a:t>(6 Factors) </a:t>
          </a:r>
          <a:r>
            <a:rPr lang="th-TH" sz="2400" b="0" baseline="0">
              <a:solidFill>
                <a:schemeClr val="tx1"/>
              </a:solidFill>
              <a:latin typeface="+mn-lt"/>
              <a:ea typeface="+mn-ea"/>
              <a:cs typeface="+mn-cs"/>
            </a:rPr>
            <a:t>ไปด้วย</a:t>
          </a:r>
        </a:p>
        <a:p>
          <a:pPr algn="l"/>
          <a:r>
            <a:rPr lang="th-TH" sz="4000" b="0" baseline="0">
              <a:solidFill>
                <a:schemeClr val="tx1"/>
              </a:solidFill>
              <a:effectLst/>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ให้คะแนนตามความเป็นจริง (อิงเกณฑ์) ไม่ใช้ทัศนคติหรือความชอบส่วนตัว</a:t>
          </a:r>
        </a:p>
        <a:p>
          <a:pPr algn="l"/>
          <a:r>
            <a:rPr lang="th-TH" sz="4000" b="0" baseline="0">
              <a:solidFill>
                <a:schemeClr val="tx1"/>
              </a:solidFill>
              <a:effectLst/>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สรุป และ ส่งต่อให้ผู้ประเมินคนที่ </a:t>
          </a:r>
          <a:r>
            <a:rPr lang="en-US" sz="2400" b="0" baseline="0">
              <a:solidFill>
                <a:schemeClr val="tx1"/>
              </a:solidFill>
              <a:latin typeface="+mn-lt"/>
              <a:ea typeface="+mn-ea"/>
              <a:cs typeface="+mn-cs"/>
            </a:rPr>
            <a:t>2 </a:t>
          </a:r>
          <a:r>
            <a:rPr lang="th-TH" sz="2400" b="0" baseline="0">
              <a:solidFill>
                <a:schemeClr val="tx1"/>
              </a:solidFill>
              <a:latin typeface="+mn-lt"/>
              <a:ea typeface="+mn-ea"/>
              <a:cs typeface="+mn-cs"/>
            </a:rPr>
            <a:t>เพื่อให้คะแนน</a:t>
          </a:r>
        </a:p>
        <a:p>
          <a:pPr algn="l"/>
          <a:r>
            <a:rPr lang="th-TH" sz="4000" b="0" baseline="0">
              <a:solidFill>
                <a:schemeClr val="tx1"/>
              </a:solidFill>
              <a:effectLst/>
              <a:latin typeface="+mn-lt"/>
              <a:ea typeface="+mn-ea"/>
              <a:cs typeface="+mn-cs"/>
              <a:sym typeface="Wingdings 2" panose="05020102010507070707" pitchFamily="18" charset="2"/>
            </a:rPr>
            <a:t></a:t>
          </a:r>
          <a:r>
            <a:rPr lang="th-TH" sz="2400" b="1" baseline="0">
              <a:solidFill>
                <a:srgbClr val="FF0000"/>
              </a:solidFill>
              <a:latin typeface="+mn-lt"/>
              <a:ea typeface="+mn-ea"/>
              <a:cs typeface="+mn-cs"/>
            </a:rPr>
            <a:t>คะแนนของผู้ประเมินคนที่ </a:t>
          </a:r>
          <a:r>
            <a:rPr lang="en-US" sz="2400" b="1" baseline="0">
              <a:solidFill>
                <a:srgbClr val="FF0000"/>
              </a:solidFill>
              <a:latin typeface="+mn-lt"/>
              <a:ea typeface="+mn-ea"/>
              <a:cs typeface="+mn-cs"/>
            </a:rPr>
            <a:t>1</a:t>
          </a:r>
          <a:r>
            <a:rPr lang="th-TH" sz="2400" b="1" baseline="0">
              <a:solidFill>
                <a:srgbClr val="FF0000"/>
              </a:solidFill>
              <a:latin typeface="+mn-lt"/>
              <a:ea typeface="+mn-ea"/>
              <a:cs typeface="+mn-cs"/>
            </a:rPr>
            <a:t> และ คนที่ </a:t>
          </a:r>
          <a:r>
            <a:rPr lang="en-US" sz="2400" b="1" baseline="0">
              <a:solidFill>
                <a:srgbClr val="FF0000"/>
              </a:solidFill>
              <a:latin typeface="+mn-lt"/>
              <a:ea typeface="+mn-ea"/>
              <a:cs typeface="+mn-cs"/>
            </a:rPr>
            <a:t>2 </a:t>
          </a:r>
          <a:r>
            <a:rPr lang="th-TH" sz="2400" b="1" baseline="0">
              <a:solidFill>
                <a:srgbClr val="FF0000"/>
              </a:solidFill>
              <a:latin typeface="+mn-lt"/>
              <a:ea typeface="+mn-ea"/>
              <a:cs typeface="+mn-cs"/>
            </a:rPr>
            <a:t>จะต้องเท่ากัน ถ้าไม่เท่าต้องพูดคุยและหาข้อตกลงเพื่อสรุปคะแนนที่จะให้ในทางเดียวกัน</a:t>
          </a:r>
        </a:p>
        <a:p>
          <a:pPr algn="l"/>
          <a:endParaRPr lang="th-TH" sz="2400" b="0" baseline="0">
            <a:solidFill>
              <a:schemeClr val="tx1"/>
            </a:solidFill>
            <a:latin typeface="+mn-lt"/>
            <a:ea typeface="+mn-ea"/>
            <a:cs typeface="+mn-cs"/>
          </a:endParaRPr>
        </a:p>
        <a:p>
          <a:pPr algn="l"/>
          <a:endParaRPr lang="en-US" sz="2400" b="1" baseline="0">
            <a:solidFill>
              <a:schemeClr val="tx1"/>
            </a:solidFill>
            <a:latin typeface="+mn-lt"/>
            <a:ea typeface="+mn-ea"/>
            <a:cs typeface="+mn-cs"/>
          </a:endParaRPr>
        </a:p>
      </xdr:txBody>
    </xdr:sp>
    <xdr:clientData/>
  </xdr:twoCellAnchor>
  <xdr:twoCellAnchor>
    <xdr:from>
      <xdr:col>15</xdr:col>
      <xdr:colOff>3649</xdr:colOff>
      <xdr:row>49</xdr:row>
      <xdr:rowOff>207751</xdr:rowOff>
    </xdr:from>
    <xdr:to>
      <xdr:col>17</xdr:col>
      <xdr:colOff>67830</xdr:colOff>
      <xdr:row>53</xdr:row>
      <xdr:rowOff>145371</xdr:rowOff>
    </xdr:to>
    <xdr:cxnSp macro="">
      <xdr:nvCxnSpPr>
        <xdr:cNvPr id="133" name="Connector: Curved 132">
          <a:extLst>
            <a:ext uri="{FF2B5EF4-FFF2-40B4-BE49-F238E27FC236}">
              <a16:creationId xmlns:a16="http://schemas.microsoft.com/office/drawing/2014/main" id="{E2466550-8813-4D3F-AA5E-532A0BAFA697}"/>
            </a:ext>
          </a:extLst>
        </xdr:cNvPr>
        <xdr:cNvCxnSpPr>
          <a:endCxn id="137" idx="2"/>
        </xdr:cNvCxnSpPr>
      </xdr:nvCxnSpPr>
      <xdr:spPr>
        <a:xfrm flipV="1">
          <a:off x="19973304" y="23615165"/>
          <a:ext cx="2494698" cy="1076240"/>
        </a:xfrm>
        <a:prstGeom prst="curvedConnector2">
          <a:avLst/>
        </a:prstGeom>
        <a:ln w="57150">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1094828</xdr:colOff>
      <xdr:row>54</xdr:row>
      <xdr:rowOff>262758</xdr:rowOff>
    </xdr:from>
    <xdr:to>
      <xdr:col>17</xdr:col>
      <xdr:colOff>145806</xdr:colOff>
      <xdr:row>57</xdr:row>
      <xdr:rowOff>100672</xdr:rowOff>
    </xdr:to>
    <xdr:cxnSp macro="">
      <xdr:nvCxnSpPr>
        <xdr:cNvPr id="134" name="Connector: Curved 133">
          <a:extLst>
            <a:ext uri="{FF2B5EF4-FFF2-40B4-BE49-F238E27FC236}">
              <a16:creationId xmlns:a16="http://schemas.microsoft.com/office/drawing/2014/main" id="{F1076896-3219-4B99-A4E0-AAE1FC7D5071}"/>
            </a:ext>
          </a:extLst>
        </xdr:cNvPr>
        <xdr:cNvCxnSpPr>
          <a:endCxn id="138" idx="1"/>
        </xdr:cNvCxnSpPr>
      </xdr:nvCxnSpPr>
      <xdr:spPr>
        <a:xfrm>
          <a:off x="19685000" y="25093448"/>
          <a:ext cx="2860978" cy="691879"/>
        </a:xfrm>
        <a:prstGeom prst="curvedConnector3">
          <a:avLst>
            <a:gd name="adj1" fmla="val 50000"/>
          </a:avLst>
        </a:prstGeom>
        <a:ln w="57150">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1116722</xdr:colOff>
      <xdr:row>101</xdr:row>
      <xdr:rowOff>131379</xdr:rowOff>
    </xdr:from>
    <xdr:to>
      <xdr:col>30</xdr:col>
      <xdr:colOff>375889</xdr:colOff>
      <xdr:row>104</xdr:row>
      <xdr:rowOff>344871</xdr:rowOff>
    </xdr:to>
    <xdr:sp macro="" textlink="">
      <xdr:nvSpPr>
        <xdr:cNvPr id="139" name="Rectangle 138">
          <a:extLst>
            <a:ext uri="{FF2B5EF4-FFF2-40B4-BE49-F238E27FC236}">
              <a16:creationId xmlns:a16="http://schemas.microsoft.com/office/drawing/2014/main" id="{F371230A-BF0A-424A-B2F1-29A5981076D4}"/>
            </a:ext>
          </a:extLst>
        </xdr:cNvPr>
        <xdr:cNvSpPr/>
      </xdr:nvSpPr>
      <xdr:spPr>
        <a:xfrm>
          <a:off x="34618446" y="42150862"/>
          <a:ext cx="5105546" cy="1855733"/>
        </a:xfrm>
        <a:prstGeom prst="rect">
          <a:avLst/>
        </a:prstGeom>
        <a:solidFill>
          <a:srgbClr val="FFCCFF"/>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4000" b="0" baseline="0">
              <a:solidFill>
                <a:schemeClr val="tx1"/>
              </a:solidFill>
              <a:latin typeface="+mn-lt"/>
              <a:ea typeface="+mn-ea"/>
              <a:cs typeface="+mn-cs"/>
            </a:rPr>
            <a:t>สูตรคำนวณจะแสดงผลอัตโนมัติ</a:t>
          </a:r>
          <a:endParaRPr lang="en-US" sz="4000" b="0" baseline="0">
            <a:solidFill>
              <a:schemeClr val="tx1"/>
            </a:solidFill>
            <a:latin typeface="+mn-lt"/>
            <a:ea typeface="+mn-ea"/>
            <a:cs typeface="+mn-cs"/>
          </a:endParaRPr>
        </a:p>
      </xdr:txBody>
    </xdr:sp>
    <xdr:clientData/>
  </xdr:twoCellAnchor>
  <xdr:twoCellAnchor>
    <xdr:from>
      <xdr:col>12</xdr:col>
      <xdr:colOff>79175</xdr:colOff>
      <xdr:row>62</xdr:row>
      <xdr:rowOff>175172</xdr:rowOff>
    </xdr:from>
    <xdr:to>
      <xdr:col>16</xdr:col>
      <xdr:colOff>572677</xdr:colOff>
      <xdr:row>66</xdr:row>
      <xdr:rowOff>175172</xdr:rowOff>
    </xdr:to>
    <xdr:sp macro="" textlink="">
      <xdr:nvSpPr>
        <xdr:cNvPr id="140" name="Rectangle 139">
          <a:extLst>
            <a:ext uri="{FF2B5EF4-FFF2-40B4-BE49-F238E27FC236}">
              <a16:creationId xmlns:a16="http://schemas.microsoft.com/office/drawing/2014/main" id="{4190C38C-6C6B-44BA-AC60-D437D5BBA114}"/>
            </a:ext>
          </a:extLst>
        </xdr:cNvPr>
        <xdr:cNvSpPr/>
      </xdr:nvSpPr>
      <xdr:spPr>
        <a:xfrm>
          <a:off x="15910382" y="27502069"/>
          <a:ext cx="5858157" cy="1532758"/>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2400" b="1" u="sng">
              <a:solidFill>
                <a:schemeClr val="tx1"/>
              </a:solidFill>
            </a:rPr>
            <a:t>น้ำหนักรวมของ</a:t>
          </a:r>
          <a:r>
            <a:rPr lang="th-TH" sz="2400" b="1" u="sng" baseline="0">
              <a:solidFill>
                <a:schemeClr val="tx1"/>
              </a:solidFill>
            </a:rPr>
            <a:t> </a:t>
          </a:r>
          <a:r>
            <a:rPr lang="en-US" sz="2400" b="1" u="sng" baseline="0">
              <a:solidFill>
                <a:schemeClr val="tx1"/>
              </a:solidFill>
            </a:rPr>
            <a:t>MBO </a:t>
          </a:r>
          <a:r>
            <a:rPr lang="th-TH" sz="2400" b="1" u="sng" baseline="0">
              <a:solidFill>
                <a:schemeClr val="tx1"/>
              </a:solidFill>
            </a:rPr>
            <a:t>แบบงานประจำ</a:t>
          </a:r>
        </a:p>
        <a:p>
          <a:pPr algn="l"/>
          <a:r>
            <a:rPr lang="th-TH" sz="2400">
              <a:solidFill>
                <a:schemeClr val="tx1"/>
              </a:solidFill>
            </a:rPr>
            <a:t>แสดงผลอัตโนมัติ</a:t>
          </a:r>
          <a:r>
            <a:rPr lang="th-TH" sz="2400" baseline="0">
              <a:solidFill>
                <a:schemeClr val="tx1"/>
              </a:solidFill>
            </a:rPr>
            <a:t> เมื่อกรอก "ระดับเกรด" ตามขั้นตอนที่ </a:t>
          </a:r>
          <a:r>
            <a:rPr lang="en-US" sz="2400" baseline="0">
              <a:solidFill>
                <a:schemeClr val="tx1"/>
              </a:solidFill>
            </a:rPr>
            <a:t>1</a:t>
          </a:r>
          <a:endParaRPr lang="en-US" sz="2400">
            <a:solidFill>
              <a:schemeClr val="tx1"/>
            </a:solidFill>
          </a:endParaRPr>
        </a:p>
      </xdr:txBody>
    </xdr:sp>
    <xdr:clientData/>
  </xdr:twoCellAnchor>
  <xdr:twoCellAnchor>
    <xdr:from>
      <xdr:col>19</xdr:col>
      <xdr:colOff>43793</xdr:colOff>
      <xdr:row>30</xdr:row>
      <xdr:rowOff>328448</xdr:rowOff>
    </xdr:from>
    <xdr:to>
      <xdr:col>24</xdr:col>
      <xdr:colOff>1182413</xdr:colOff>
      <xdr:row>32</xdr:row>
      <xdr:rowOff>240862</xdr:rowOff>
    </xdr:to>
    <xdr:sp macro="" textlink="">
      <xdr:nvSpPr>
        <xdr:cNvPr id="145" name="Left Brace 144">
          <a:extLst>
            <a:ext uri="{FF2B5EF4-FFF2-40B4-BE49-F238E27FC236}">
              <a16:creationId xmlns:a16="http://schemas.microsoft.com/office/drawing/2014/main" id="{8C8C562B-8EC3-4A36-9823-3554C7CF7EC5}"/>
            </a:ext>
          </a:extLst>
        </xdr:cNvPr>
        <xdr:cNvSpPr/>
      </xdr:nvSpPr>
      <xdr:spPr>
        <a:xfrm rot="5400000" flipH="1">
          <a:off x="27950947" y="14747328"/>
          <a:ext cx="963449" cy="7160172"/>
        </a:xfrm>
        <a:prstGeom prst="leftBrace">
          <a:avLst>
            <a:gd name="adj1" fmla="val 68098"/>
            <a:gd name="adj2" fmla="val 45735"/>
          </a:avLst>
        </a:prstGeom>
        <a:ln w="76200">
          <a:solidFill>
            <a:srgbClr val="C0000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34</xdr:col>
      <xdr:colOff>1039091</xdr:colOff>
      <xdr:row>47</xdr:row>
      <xdr:rowOff>171227</xdr:rowOff>
    </xdr:from>
    <xdr:to>
      <xdr:col>35</xdr:col>
      <xdr:colOff>1156816</xdr:colOff>
      <xdr:row>52</xdr:row>
      <xdr:rowOff>0</xdr:rowOff>
    </xdr:to>
    <xdr:cxnSp macro="">
      <xdr:nvCxnSpPr>
        <xdr:cNvPr id="148" name="Connector: Curved 147">
          <a:extLst>
            <a:ext uri="{FF2B5EF4-FFF2-40B4-BE49-F238E27FC236}">
              <a16:creationId xmlns:a16="http://schemas.microsoft.com/office/drawing/2014/main" id="{607503F3-5F55-4235-9B71-848333B6FC19}"/>
            </a:ext>
          </a:extLst>
        </xdr:cNvPr>
        <xdr:cNvCxnSpPr>
          <a:endCxn id="116" idx="1"/>
        </xdr:cNvCxnSpPr>
      </xdr:nvCxnSpPr>
      <xdr:spPr>
        <a:xfrm flipV="1">
          <a:off x="46037500" y="23897136"/>
          <a:ext cx="1503180" cy="1271955"/>
        </a:xfrm>
        <a:prstGeom prst="curvedConnector3">
          <a:avLst>
            <a:gd name="adj1" fmla="val 50000"/>
          </a:avLst>
        </a:prstGeom>
        <a:ln w="57150">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1067955</xdr:colOff>
      <xdr:row>54</xdr:row>
      <xdr:rowOff>202045</xdr:rowOff>
    </xdr:from>
    <xdr:to>
      <xdr:col>37</xdr:col>
      <xdr:colOff>43794</xdr:colOff>
      <xdr:row>60</xdr:row>
      <xdr:rowOff>43793</xdr:rowOff>
    </xdr:to>
    <xdr:cxnSp macro="">
      <xdr:nvCxnSpPr>
        <xdr:cNvPr id="153" name="Connector: Curved 152">
          <a:extLst>
            <a:ext uri="{FF2B5EF4-FFF2-40B4-BE49-F238E27FC236}">
              <a16:creationId xmlns:a16="http://schemas.microsoft.com/office/drawing/2014/main" id="{92022CA4-ADCD-4BA7-A882-DAD039DF396C}"/>
            </a:ext>
          </a:extLst>
        </xdr:cNvPr>
        <xdr:cNvCxnSpPr/>
      </xdr:nvCxnSpPr>
      <xdr:spPr>
        <a:xfrm>
          <a:off x="46066364" y="25948409"/>
          <a:ext cx="2785839" cy="1573566"/>
        </a:xfrm>
        <a:prstGeom prst="curvedConnector3">
          <a:avLst>
            <a:gd name="adj1" fmla="val 50000"/>
          </a:avLst>
        </a:prstGeom>
        <a:ln w="57150">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375889</xdr:colOff>
      <xdr:row>101</xdr:row>
      <xdr:rowOff>415196</xdr:rowOff>
    </xdr:from>
    <xdr:to>
      <xdr:col>31</xdr:col>
      <xdr:colOff>1065891</xdr:colOff>
      <xdr:row>103</xdr:row>
      <xdr:rowOff>95798</xdr:rowOff>
    </xdr:to>
    <xdr:cxnSp macro="">
      <xdr:nvCxnSpPr>
        <xdr:cNvPr id="155" name="Connector: Curved 154">
          <a:extLst>
            <a:ext uri="{FF2B5EF4-FFF2-40B4-BE49-F238E27FC236}">
              <a16:creationId xmlns:a16="http://schemas.microsoft.com/office/drawing/2014/main" id="{F6239DD3-5B01-48EC-922A-21C96C5B8DEF}"/>
            </a:ext>
          </a:extLst>
        </xdr:cNvPr>
        <xdr:cNvCxnSpPr>
          <a:stCxn id="139" idx="3"/>
          <a:endCxn id="182" idx="1"/>
        </xdr:cNvCxnSpPr>
      </xdr:nvCxnSpPr>
      <xdr:spPr>
        <a:xfrm flipV="1">
          <a:off x="39723992" y="42434679"/>
          <a:ext cx="2069485" cy="644050"/>
        </a:xfrm>
        <a:prstGeom prst="curvedConnector3">
          <a:avLst>
            <a:gd name="adj1" fmla="val 50000"/>
          </a:avLst>
        </a:prstGeom>
        <a:ln w="57150">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328453</xdr:colOff>
      <xdr:row>101</xdr:row>
      <xdr:rowOff>197072</xdr:rowOff>
    </xdr:from>
    <xdr:to>
      <xdr:col>26</xdr:col>
      <xdr:colOff>1116723</xdr:colOff>
      <xdr:row>103</xdr:row>
      <xdr:rowOff>95799</xdr:rowOff>
    </xdr:to>
    <xdr:cxnSp macro="">
      <xdr:nvCxnSpPr>
        <xdr:cNvPr id="159" name="Connector: Curved 158">
          <a:extLst>
            <a:ext uri="{FF2B5EF4-FFF2-40B4-BE49-F238E27FC236}">
              <a16:creationId xmlns:a16="http://schemas.microsoft.com/office/drawing/2014/main" id="{CAB4F1BB-59D8-463F-B63F-C01A02C56151}"/>
            </a:ext>
          </a:extLst>
        </xdr:cNvPr>
        <xdr:cNvCxnSpPr>
          <a:stCxn id="139" idx="1"/>
        </xdr:cNvCxnSpPr>
      </xdr:nvCxnSpPr>
      <xdr:spPr>
        <a:xfrm rot="10800000">
          <a:off x="32363108" y="42216555"/>
          <a:ext cx="2255339" cy="862175"/>
        </a:xfrm>
        <a:prstGeom prst="curvedConnector3">
          <a:avLst>
            <a:gd name="adj1" fmla="val 50000"/>
          </a:avLst>
        </a:prstGeom>
        <a:ln w="57150">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431191</xdr:colOff>
      <xdr:row>32</xdr:row>
      <xdr:rowOff>2</xdr:rowOff>
    </xdr:from>
    <xdr:to>
      <xdr:col>7</xdr:col>
      <xdr:colOff>-1</xdr:colOff>
      <xdr:row>34</xdr:row>
      <xdr:rowOff>267499</xdr:rowOff>
    </xdr:to>
    <xdr:sp macro="" textlink="">
      <xdr:nvSpPr>
        <xdr:cNvPr id="167" name="TextBox 166">
          <a:extLst>
            <a:ext uri="{FF2B5EF4-FFF2-40B4-BE49-F238E27FC236}">
              <a16:creationId xmlns:a16="http://schemas.microsoft.com/office/drawing/2014/main" id="{69971C36-6D29-41C4-B74B-1536127230D7}"/>
            </a:ext>
          </a:extLst>
        </xdr:cNvPr>
        <xdr:cNvSpPr txBox="1"/>
      </xdr:nvSpPr>
      <xdr:spPr>
        <a:xfrm flipH="1">
          <a:off x="7657053" y="18568278"/>
          <a:ext cx="1035877" cy="836807"/>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7</a:t>
          </a:r>
        </a:p>
      </xdr:txBody>
    </xdr:sp>
    <xdr:clientData/>
  </xdr:twoCellAnchor>
  <xdr:twoCellAnchor>
    <xdr:from>
      <xdr:col>8</xdr:col>
      <xdr:colOff>256019</xdr:colOff>
      <xdr:row>32</xdr:row>
      <xdr:rowOff>0</xdr:rowOff>
    </xdr:from>
    <xdr:to>
      <xdr:col>8</xdr:col>
      <xdr:colOff>1291896</xdr:colOff>
      <xdr:row>34</xdr:row>
      <xdr:rowOff>267497</xdr:rowOff>
    </xdr:to>
    <xdr:sp macro="" textlink="">
      <xdr:nvSpPr>
        <xdr:cNvPr id="168" name="TextBox 167">
          <a:extLst>
            <a:ext uri="{FF2B5EF4-FFF2-40B4-BE49-F238E27FC236}">
              <a16:creationId xmlns:a16="http://schemas.microsoft.com/office/drawing/2014/main" id="{BD87D03C-5C8E-489E-A0AA-B0997D053579}"/>
            </a:ext>
          </a:extLst>
        </xdr:cNvPr>
        <xdr:cNvSpPr txBox="1"/>
      </xdr:nvSpPr>
      <xdr:spPr>
        <a:xfrm flipH="1">
          <a:off x="10416019" y="18568276"/>
          <a:ext cx="1035877" cy="836807"/>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8</a:t>
          </a:r>
        </a:p>
      </xdr:txBody>
    </xdr:sp>
    <xdr:clientData/>
  </xdr:twoCellAnchor>
  <xdr:twoCellAnchor>
    <xdr:from>
      <xdr:col>10</xdr:col>
      <xdr:colOff>212955</xdr:colOff>
      <xdr:row>30</xdr:row>
      <xdr:rowOff>495591</xdr:rowOff>
    </xdr:from>
    <xdr:to>
      <xdr:col>10</xdr:col>
      <xdr:colOff>1248832</xdr:colOff>
      <xdr:row>32</xdr:row>
      <xdr:rowOff>266766</xdr:rowOff>
    </xdr:to>
    <xdr:sp macro="" textlink="">
      <xdr:nvSpPr>
        <xdr:cNvPr id="169" name="TextBox 168">
          <a:extLst>
            <a:ext uri="{FF2B5EF4-FFF2-40B4-BE49-F238E27FC236}">
              <a16:creationId xmlns:a16="http://schemas.microsoft.com/office/drawing/2014/main" id="{DA1BFFC6-3905-45E1-B211-32AB0477F96D}"/>
            </a:ext>
          </a:extLst>
        </xdr:cNvPr>
        <xdr:cNvSpPr txBox="1"/>
      </xdr:nvSpPr>
      <xdr:spPr>
        <a:xfrm flipH="1">
          <a:off x="13209288" y="18974091"/>
          <a:ext cx="1035877" cy="808342"/>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9</a:t>
          </a:r>
        </a:p>
      </xdr:txBody>
    </xdr:sp>
    <xdr:clientData/>
  </xdr:twoCellAnchor>
  <xdr:twoCellAnchor>
    <xdr:from>
      <xdr:col>15</xdr:col>
      <xdr:colOff>102742</xdr:colOff>
      <xdr:row>29</xdr:row>
      <xdr:rowOff>503620</xdr:rowOff>
    </xdr:from>
    <xdr:to>
      <xdr:col>15</xdr:col>
      <xdr:colOff>1138619</xdr:colOff>
      <xdr:row>30</xdr:row>
      <xdr:rowOff>574048</xdr:rowOff>
    </xdr:to>
    <xdr:sp macro="" textlink="">
      <xdr:nvSpPr>
        <xdr:cNvPr id="170" name="TextBox 169">
          <a:extLst>
            <a:ext uri="{FF2B5EF4-FFF2-40B4-BE49-F238E27FC236}">
              <a16:creationId xmlns:a16="http://schemas.microsoft.com/office/drawing/2014/main" id="{008B9D43-A26C-4D03-936E-924C98CD0E38}"/>
            </a:ext>
          </a:extLst>
        </xdr:cNvPr>
        <xdr:cNvSpPr txBox="1"/>
      </xdr:nvSpPr>
      <xdr:spPr>
        <a:xfrm flipH="1">
          <a:off x="20072397" y="17254482"/>
          <a:ext cx="1035877" cy="836807"/>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10</a:t>
          </a:r>
        </a:p>
      </xdr:txBody>
    </xdr:sp>
    <xdr:clientData/>
  </xdr:twoCellAnchor>
  <xdr:twoCellAnchor>
    <xdr:from>
      <xdr:col>16</xdr:col>
      <xdr:colOff>140424</xdr:colOff>
      <xdr:row>39</xdr:row>
      <xdr:rowOff>64853</xdr:rowOff>
    </xdr:from>
    <xdr:to>
      <xdr:col>17</xdr:col>
      <xdr:colOff>158384</xdr:colOff>
      <xdr:row>42</xdr:row>
      <xdr:rowOff>151086</xdr:rowOff>
    </xdr:to>
    <xdr:sp macro="" textlink="">
      <xdr:nvSpPr>
        <xdr:cNvPr id="171" name="TextBox 170">
          <a:extLst>
            <a:ext uri="{FF2B5EF4-FFF2-40B4-BE49-F238E27FC236}">
              <a16:creationId xmlns:a16="http://schemas.microsoft.com/office/drawing/2014/main" id="{6EB5E35C-4D03-47C2-A77A-047AE5589534}"/>
            </a:ext>
          </a:extLst>
        </xdr:cNvPr>
        <xdr:cNvSpPr txBox="1"/>
      </xdr:nvSpPr>
      <xdr:spPr>
        <a:xfrm flipH="1">
          <a:off x="21243591" y="21506686"/>
          <a:ext cx="1224460" cy="911733"/>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1.3</a:t>
          </a:r>
        </a:p>
      </xdr:txBody>
    </xdr:sp>
    <xdr:clientData/>
  </xdr:twoCellAnchor>
  <xdr:twoCellAnchor>
    <xdr:from>
      <xdr:col>17</xdr:col>
      <xdr:colOff>1062999</xdr:colOff>
      <xdr:row>50</xdr:row>
      <xdr:rowOff>5731</xdr:rowOff>
    </xdr:from>
    <xdr:to>
      <xdr:col>18</xdr:col>
      <xdr:colOff>1080960</xdr:colOff>
      <xdr:row>53</xdr:row>
      <xdr:rowOff>91963</xdr:rowOff>
    </xdr:to>
    <xdr:sp macro="" textlink="">
      <xdr:nvSpPr>
        <xdr:cNvPr id="174" name="TextBox 173">
          <a:extLst>
            <a:ext uri="{FF2B5EF4-FFF2-40B4-BE49-F238E27FC236}">
              <a16:creationId xmlns:a16="http://schemas.microsoft.com/office/drawing/2014/main" id="{F8344792-F1CB-4AFB-8179-7EFAACE7C5FB}"/>
            </a:ext>
          </a:extLst>
        </xdr:cNvPr>
        <xdr:cNvSpPr txBox="1"/>
      </xdr:nvSpPr>
      <xdr:spPr>
        <a:xfrm flipH="1">
          <a:off x="23372666" y="24474398"/>
          <a:ext cx="1224461" cy="911732"/>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1.2</a:t>
          </a:r>
        </a:p>
      </xdr:txBody>
    </xdr:sp>
    <xdr:clientData/>
  </xdr:twoCellAnchor>
  <xdr:twoCellAnchor>
    <xdr:from>
      <xdr:col>23</xdr:col>
      <xdr:colOff>1186350</xdr:colOff>
      <xdr:row>32</xdr:row>
      <xdr:rowOff>242215</xdr:rowOff>
    </xdr:from>
    <xdr:to>
      <xdr:col>25</xdr:col>
      <xdr:colOff>0</xdr:colOff>
      <xdr:row>36</xdr:row>
      <xdr:rowOff>43792</xdr:rowOff>
    </xdr:to>
    <xdr:sp macro="" textlink="">
      <xdr:nvSpPr>
        <xdr:cNvPr id="181" name="TextBox 180">
          <a:extLst>
            <a:ext uri="{FF2B5EF4-FFF2-40B4-BE49-F238E27FC236}">
              <a16:creationId xmlns:a16="http://schemas.microsoft.com/office/drawing/2014/main" id="{0F5071D8-8CAD-4E2C-962D-EC45D1D8112E}"/>
            </a:ext>
          </a:extLst>
        </xdr:cNvPr>
        <xdr:cNvSpPr txBox="1"/>
      </xdr:nvSpPr>
      <xdr:spPr>
        <a:xfrm flipH="1">
          <a:off x="30812384" y="18810491"/>
          <a:ext cx="1222271" cy="940198"/>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rgbClr val="FFFF00"/>
              </a:solidFill>
            </a:rPr>
            <a:t>1.4</a:t>
          </a:r>
        </a:p>
      </xdr:txBody>
    </xdr:sp>
    <xdr:clientData/>
  </xdr:twoCellAnchor>
  <xdr:twoCellAnchor>
    <xdr:from>
      <xdr:col>26</xdr:col>
      <xdr:colOff>431191</xdr:colOff>
      <xdr:row>32</xdr:row>
      <xdr:rowOff>65692</xdr:rowOff>
    </xdr:from>
    <xdr:to>
      <xdr:col>27</xdr:col>
      <xdr:colOff>-1</xdr:colOff>
      <xdr:row>35</xdr:row>
      <xdr:rowOff>48534</xdr:rowOff>
    </xdr:to>
    <xdr:sp macro="" textlink="">
      <xdr:nvSpPr>
        <xdr:cNvPr id="183" name="TextBox 182">
          <a:extLst>
            <a:ext uri="{FF2B5EF4-FFF2-40B4-BE49-F238E27FC236}">
              <a16:creationId xmlns:a16="http://schemas.microsoft.com/office/drawing/2014/main" id="{1A3C62B5-62C5-46CD-9761-E7043BBC25DD}"/>
            </a:ext>
          </a:extLst>
        </xdr:cNvPr>
        <xdr:cNvSpPr txBox="1"/>
      </xdr:nvSpPr>
      <xdr:spPr>
        <a:xfrm flipH="1">
          <a:off x="33932915" y="18633968"/>
          <a:ext cx="1035877" cy="836807"/>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11</a:t>
          </a:r>
        </a:p>
      </xdr:txBody>
    </xdr:sp>
    <xdr:clientData/>
  </xdr:twoCellAnchor>
  <xdr:twoCellAnchor>
    <xdr:from>
      <xdr:col>28</xdr:col>
      <xdr:colOff>256019</xdr:colOff>
      <xdr:row>32</xdr:row>
      <xdr:rowOff>65690</xdr:rowOff>
    </xdr:from>
    <xdr:to>
      <xdr:col>28</xdr:col>
      <xdr:colOff>1291896</xdr:colOff>
      <xdr:row>35</xdr:row>
      <xdr:rowOff>48532</xdr:rowOff>
    </xdr:to>
    <xdr:sp macro="" textlink="">
      <xdr:nvSpPr>
        <xdr:cNvPr id="184" name="TextBox 183">
          <a:extLst>
            <a:ext uri="{FF2B5EF4-FFF2-40B4-BE49-F238E27FC236}">
              <a16:creationId xmlns:a16="http://schemas.microsoft.com/office/drawing/2014/main" id="{81BFB550-4555-45EC-BDE5-FE02B2575FD3}"/>
            </a:ext>
          </a:extLst>
        </xdr:cNvPr>
        <xdr:cNvSpPr txBox="1"/>
      </xdr:nvSpPr>
      <xdr:spPr>
        <a:xfrm flipH="1">
          <a:off x="36691881" y="18633966"/>
          <a:ext cx="1035877" cy="836807"/>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12</a:t>
          </a:r>
        </a:p>
      </xdr:txBody>
    </xdr:sp>
    <xdr:clientData/>
  </xdr:twoCellAnchor>
  <xdr:twoCellAnchor>
    <xdr:from>
      <xdr:col>30</xdr:col>
      <xdr:colOff>234121</xdr:colOff>
      <xdr:row>32</xdr:row>
      <xdr:rowOff>43793</xdr:rowOff>
    </xdr:from>
    <xdr:to>
      <xdr:col>31</xdr:col>
      <xdr:colOff>131379</xdr:colOff>
      <xdr:row>34</xdr:row>
      <xdr:rowOff>240862</xdr:rowOff>
    </xdr:to>
    <xdr:sp macro="" textlink="">
      <xdr:nvSpPr>
        <xdr:cNvPr id="185" name="TextBox 184">
          <a:extLst>
            <a:ext uri="{FF2B5EF4-FFF2-40B4-BE49-F238E27FC236}">
              <a16:creationId xmlns:a16="http://schemas.microsoft.com/office/drawing/2014/main" id="{95D420C1-E435-4604-B97E-E3147FEAB4A0}"/>
            </a:ext>
          </a:extLst>
        </xdr:cNvPr>
        <xdr:cNvSpPr txBox="1"/>
      </xdr:nvSpPr>
      <xdr:spPr>
        <a:xfrm flipH="1">
          <a:off x="39582224" y="18612069"/>
          <a:ext cx="1276741" cy="766379"/>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13</a:t>
          </a:r>
        </a:p>
      </xdr:txBody>
    </xdr:sp>
    <xdr:clientData/>
  </xdr:twoCellAnchor>
  <xdr:twoCellAnchor>
    <xdr:from>
      <xdr:col>34</xdr:col>
      <xdr:colOff>1350845</xdr:colOff>
      <xdr:row>29</xdr:row>
      <xdr:rowOff>613103</xdr:rowOff>
    </xdr:from>
    <xdr:to>
      <xdr:col>35</xdr:col>
      <xdr:colOff>1248103</xdr:colOff>
      <xdr:row>30</xdr:row>
      <xdr:rowOff>613103</xdr:rowOff>
    </xdr:to>
    <xdr:sp macro="" textlink="">
      <xdr:nvSpPr>
        <xdr:cNvPr id="186" name="TextBox 185">
          <a:extLst>
            <a:ext uri="{FF2B5EF4-FFF2-40B4-BE49-F238E27FC236}">
              <a16:creationId xmlns:a16="http://schemas.microsoft.com/office/drawing/2014/main" id="{2334BD46-49FE-4AF4-8EFD-133D2A2544C3}"/>
            </a:ext>
          </a:extLst>
        </xdr:cNvPr>
        <xdr:cNvSpPr txBox="1"/>
      </xdr:nvSpPr>
      <xdr:spPr>
        <a:xfrm flipH="1">
          <a:off x="46216879" y="17363965"/>
          <a:ext cx="1276741" cy="766379"/>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14</a:t>
          </a:r>
        </a:p>
      </xdr:txBody>
    </xdr:sp>
    <xdr:clientData/>
  </xdr:twoCellAnchor>
  <xdr:twoCellAnchor>
    <xdr:from>
      <xdr:col>32</xdr:col>
      <xdr:colOff>315463</xdr:colOff>
      <xdr:row>32</xdr:row>
      <xdr:rowOff>110836</xdr:rowOff>
    </xdr:from>
    <xdr:to>
      <xdr:col>33</xdr:col>
      <xdr:colOff>464803</xdr:colOff>
      <xdr:row>35</xdr:row>
      <xdr:rowOff>197069</xdr:rowOff>
    </xdr:to>
    <xdr:sp macro="" textlink="">
      <xdr:nvSpPr>
        <xdr:cNvPr id="187" name="TextBox 186">
          <a:extLst>
            <a:ext uri="{FF2B5EF4-FFF2-40B4-BE49-F238E27FC236}">
              <a16:creationId xmlns:a16="http://schemas.microsoft.com/office/drawing/2014/main" id="{411F3428-32F3-4685-9102-3A0119865FFC}"/>
            </a:ext>
          </a:extLst>
        </xdr:cNvPr>
        <xdr:cNvSpPr txBox="1"/>
      </xdr:nvSpPr>
      <xdr:spPr>
        <a:xfrm flipH="1">
          <a:off x="42542963" y="19507200"/>
          <a:ext cx="1534795" cy="952142"/>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2nd</a:t>
          </a:r>
        </a:p>
      </xdr:txBody>
    </xdr:sp>
    <xdr:clientData/>
  </xdr:twoCellAnchor>
  <xdr:twoCellAnchor>
    <xdr:from>
      <xdr:col>36</xdr:col>
      <xdr:colOff>91522</xdr:colOff>
      <xdr:row>40</xdr:row>
      <xdr:rowOff>220319</xdr:rowOff>
    </xdr:from>
    <xdr:to>
      <xdr:col>37</xdr:col>
      <xdr:colOff>175173</xdr:colOff>
      <xdr:row>44</xdr:row>
      <xdr:rowOff>21896</xdr:rowOff>
    </xdr:to>
    <xdr:sp macro="" textlink="">
      <xdr:nvSpPr>
        <xdr:cNvPr id="188" name="TextBox 187">
          <a:extLst>
            <a:ext uri="{FF2B5EF4-FFF2-40B4-BE49-F238E27FC236}">
              <a16:creationId xmlns:a16="http://schemas.microsoft.com/office/drawing/2014/main" id="{DB284721-A740-47DB-8695-F007085E9F7E}"/>
            </a:ext>
          </a:extLst>
        </xdr:cNvPr>
        <xdr:cNvSpPr txBox="1"/>
      </xdr:nvSpPr>
      <xdr:spPr>
        <a:xfrm flipH="1">
          <a:off x="47628936" y="21065836"/>
          <a:ext cx="1222271" cy="940198"/>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2.3</a:t>
          </a:r>
        </a:p>
      </xdr:txBody>
    </xdr:sp>
    <xdr:clientData/>
  </xdr:twoCellAnchor>
  <xdr:twoCellAnchor>
    <xdr:from>
      <xdr:col>37</xdr:col>
      <xdr:colOff>617039</xdr:colOff>
      <xdr:row>51</xdr:row>
      <xdr:rowOff>1353</xdr:rowOff>
    </xdr:from>
    <xdr:to>
      <xdr:col>38</xdr:col>
      <xdr:colOff>700689</xdr:colOff>
      <xdr:row>54</xdr:row>
      <xdr:rowOff>87585</xdr:rowOff>
    </xdr:to>
    <xdr:sp macro="" textlink="">
      <xdr:nvSpPr>
        <xdr:cNvPr id="189" name="TextBox 188">
          <a:extLst>
            <a:ext uri="{FF2B5EF4-FFF2-40B4-BE49-F238E27FC236}">
              <a16:creationId xmlns:a16="http://schemas.microsoft.com/office/drawing/2014/main" id="{2EB676C0-44AE-4DAB-9B5F-2E49883C69CA}"/>
            </a:ext>
          </a:extLst>
        </xdr:cNvPr>
        <xdr:cNvSpPr txBox="1"/>
      </xdr:nvSpPr>
      <xdr:spPr>
        <a:xfrm flipH="1">
          <a:off x="49293073" y="23978077"/>
          <a:ext cx="1222271" cy="940198"/>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2.2</a:t>
          </a:r>
        </a:p>
      </xdr:txBody>
    </xdr:sp>
    <xdr:clientData/>
  </xdr:twoCellAnchor>
  <xdr:twoCellAnchor>
    <xdr:from>
      <xdr:col>22</xdr:col>
      <xdr:colOff>534904</xdr:colOff>
      <xdr:row>25</xdr:row>
      <xdr:rowOff>198820</xdr:rowOff>
    </xdr:from>
    <xdr:to>
      <xdr:col>35</xdr:col>
      <xdr:colOff>609732</xdr:colOff>
      <xdr:row>29</xdr:row>
      <xdr:rowOff>613103</xdr:rowOff>
    </xdr:to>
    <xdr:cxnSp macro="">
      <xdr:nvCxnSpPr>
        <xdr:cNvPr id="190" name="Connector: Curved 189">
          <a:extLst>
            <a:ext uri="{FF2B5EF4-FFF2-40B4-BE49-F238E27FC236}">
              <a16:creationId xmlns:a16="http://schemas.microsoft.com/office/drawing/2014/main" id="{A97D95B4-64B5-4C61-9BBF-E24F4B5CABCB}"/>
            </a:ext>
          </a:extLst>
        </xdr:cNvPr>
        <xdr:cNvCxnSpPr>
          <a:cxnSpLocks/>
          <a:stCxn id="186" idx="0"/>
          <a:endCxn id="64" idx="3"/>
        </xdr:cNvCxnSpPr>
      </xdr:nvCxnSpPr>
      <xdr:spPr>
        <a:xfrm rot="16200000" flipV="1">
          <a:off x="36406901" y="6915616"/>
          <a:ext cx="2998076" cy="17898621"/>
        </a:xfrm>
        <a:prstGeom prst="curvedConnector2">
          <a:avLst/>
        </a:prstGeom>
        <a:ln w="57150">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xdr:colOff>
      <xdr:row>30</xdr:row>
      <xdr:rowOff>284656</xdr:rowOff>
    </xdr:from>
    <xdr:to>
      <xdr:col>44</xdr:col>
      <xdr:colOff>1116723</xdr:colOff>
      <xdr:row>32</xdr:row>
      <xdr:rowOff>197069</xdr:rowOff>
    </xdr:to>
    <xdr:sp macro="" textlink="">
      <xdr:nvSpPr>
        <xdr:cNvPr id="192" name="Left Brace 191">
          <a:extLst>
            <a:ext uri="{FF2B5EF4-FFF2-40B4-BE49-F238E27FC236}">
              <a16:creationId xmlns:a16="http://schemas.microsoft.com/office/drawing/2014/main" id="{752F25E1-0BAD-473B-B789-01057F7EEBC7}"/>
            </a:ext>
          </a:extLst>
        </xdr:cNvPr>
        <xdr:cNvSpPr/>
      </xdr:nvSpPr>
      <xdr:spPr>
        <a:xfrm rot="5400000" flipH="1">
          <a:off x="53876465" y="14878707"/>
          <a:ext cx="963448" cy="6809827"/>
        </a:xfrm>
        <a:prstGeom prst="leftBrace">
          <a:avLst>
            <a:gd name="adj1" fmla="val 68098"/>
            <a:gd name="adj2" fmla="val 47547"/>
          </a:avLst>
        </a:prstGeom>
        <a:ln w="76200">
          <a:solidFill>
            <a:srgbClr val="C0000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44</xdr:col>
      <xdr:colOff>266694</xdr:colOff>
      <xdr:row>31</xdr:row>
      <xdr:rowOff>1353</xdr:rowOff>
    </xdr:from>
    <xdr:to>
      <xdr:col>45</xdr:col>
      <xdr:colOff>350344</xdr:colOff>
      <xdr:row>34</xdr:row>
      <xdr:rowOff>87586</xdr:rowOff>
    </xdr:to>
    <xdr:sp macro="" textlink="">
      <xdr:nvSpPr>
        <xdr:cNvPr id="191" name="TextBox 190">
          <a:extLst>
            <a:ext uri="{FF2B5EF4-FFF2-40B4-BE49-F238E27FC236}">
              <a16:creationId xmlns:a16="http://schemas.microsoft.com/office/drawing/2014/main" id="{04AA5EB5-F841-4104-9F34-3D2673E79CCE}"/>
            </a:ext>
          </a:extLst>
        </xdr:cNvPr>
        <xdr:cNvSpPr txBox="1"/>
      </xdr:nvSpPr>
      <xdr:spPr>
        <a:xfrm flipH="1">
          <a:off x="56913073" y="18284974"/>
          <a:ext cx="1222271" cy="940198"/>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rgbClr val="FFFF00"/>
              </a:solidFill>
            </a:rPr>
            <a:t>2.4</a:t>
          </a:r>
        </a:p>
      </xdr:txBody>
    </xdr:sp>
    <xdr:clientData/>
  </xdr:twoCellAnchor>
  <xdr:twoCellAnchor>
    <xdr:from>
      <xdr:col>10</xdr:col>
      <xdr:colOff>743476</xdr:colOff>
      <xdr:row>12</xdr:row>
      <xdr:rowOff>109482</xdr:rowOff>
    </xdr:from>
    <xdr:to>
      <xdr:col>11</xdr:col>
      <xdr:colOff>481725</xdr:colOff>
      <xdr:row>13</xdr:row>
      <xdr:rowOff>705566</xdr:rowOff>
    </xdr:to>
    <xdr:sp macro="" textlink="">
      <xdr:nvSpPr>
        <xdr:cNvPr id="193" name="TextBox 192">
          <a:extLst>
            <a:ext uri="{FF2B5EF4-FFF2-40B4-BE49-F238E27FC236}">
              <a16:creationId xmlns:a16="http://schemas.microsoft.com/office/drawing/2014/main" id="{C318D831-1194-4979-BA11-883C6CE9F65F}"/>
            </a:ext>
          </a:extLst>
        </xdr:cNvPr>
        <xdr:cNvSpPr txBox="1"/>
      </xdr:nvSpPr>
      <xdr:spPr>
        <a:xfrm>
          <a:off x="13815717" y="4707758"/>
          <a:ext cx="1117732" cy="968325"/>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2</a:t>
          </a:r>
        </a:p>
      </xdr:txBody>
    </xdr:sp>
    <xdr:clientData/>
  </xdr:twoCellAnchor>
  <xdr:twoCellAnchor>
    <xdr:from>
      <xdr:col>4</xdr:col>
      <xdr:colOff>327442</xdr:colOff>
      <xdr:row>19</xdr:row>
      <xdr:rowOff>43793</xdr:rowOff>
    </xdr:from>
    <xdr:to>
      <xdr:col>5</xdr:col>
      <xdr:colOff>306553</xdr:colOff>
      <xdr:row>20</xdr:row>
      <xdr:rowOff>245739</xdr:rowOff>
    </xdr:to>
    <xdr:sp macro="" textlink="">
      <xdr:nvSpPr>
        <xdr:cNvPr id="194" name="TextBox 193">
          <a:extLst>
            <a:ext uri="{FF2B5EF4-FFF2-40B4-BE49-F238E27FC236}">
              <a16:creationId xmlns:a16="http://schemas.microsoft.com/office/drawing/2014/main" id="{BEB698D7-1291-4E4D-AD87-1539B580E4E4}"/>
            </a:ext>
          </a:extLst>
        </xdr:cNvPr>
        <xdr:cNvSpPr txBox="1"/>
      </xdr:nvSpPr>
      <xdr:spPr>
        <a:xfrm>
          <a:off x="4947614" y="11276724"/>
          <a:ext cx="1117732" cy="968325"/>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4</a:t>
          </a:r>
        </a:p>
      </xdr:txBody>
    </xdr:sp>
    <xdr:clientData/>
  </xdr:twoCellAnchor>
  <xdr:twoCellAnchor>
    <xdr:from>
      <xdr:col>41</xdr:col>
      <xdr:colOff>547414</xdr:colOff>
      <xdr:row>14</xdr:row>
      <xdr:rowOff>853964</xdr:rowOff>
    </xdr:from>
    <xdr:to>
      <xdr:col>42</xdr:col>
      <xdr:colOff>631064</xdr:colOff>
      <xdr:row>15</xdr:row>
      <xdr:rowOff>589852</xdr:rowOff>
    </xdr:to>
    <xdr:sp macro="" textlink="">
      <xdr:nvSpPr>
        <xdr:cNvPr id="196" name="TextBox 195">
          <a:extLst>
            <a:ext uri="{FF2B5EF4-FFF2-40B4-BE49-F238E27FC236}">
              <a16:creationId xmlns:a16="http://schemas.microsoft.com/office/drawing/2014/main" id="{C18B2E22-AC58-4F01-86AC-1B0434D1049D}"/>
            </a:ext>
          </a:extLst>
        </xdr:cNvPr>
        <xdr:cNvSpPr txBox="1"/>
      </xdr:nvSpPr>
      <xdr:spPr>
        <a:xfrm flipH="1">
          <a:off x="53777931" y="7072585"/>
          <a:ext cx="1222271" cy="940198"/>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1.5</a:t>
          </a:r>
        </a:p>
      </xdr:txBody>
    </xdr:sp>
    <xdr:clientData/>
  </xdr:twoCellAnchor>
  <xdr:twoCellAnchor>
    <xdr:from>
      <xdr:col>45</xdr:col>
      <xdr:colOff>429051</xdr:colOff>
      <xdr:row>13</xdr:row>
      <xdr:rowOff>67089</xdr:rowOff>
    </xdr:from>
    <xdr:to>
      <xdr:col>46</xdr:col>
      <xdr:colOff>503621</xdr:colOff>
      <xdr:row>13</xdr:row>
      <xdr:rowOff>963449</xdr:rowOff>
    </xdr:to>
    <xdr:sp macro="" textlink="">
      <xdr:nvSpPr>
        <xdr:cNvPr id="197" name="TextBox 196">
          <a:extLst>
            <a:ext uri="{FF2B5EF4-FFF2-40B4-BE49-F238E27FC236}">
              <a16:creationId xmlns:a16="http://schemas.microsoft.com/office/drawing/2014/main" id="{65559196-4F53-444F-8D6C-58368479C1B6}"/>
            </a:ext>
          </a:extLst>
        </xdr:cNvPr>
        <xdr:cNvSpPr txBox="1"/>
      </xdr:nvSpPr>
      <xdr:spPr>
        <a:xfrm flipH="1">
          <a:off x="58214051" y="5037606"/>
          <a:ext cx="1213191" cy="896360"/>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16</a:t>
          </a:r>
        </a:p>
      </xdr:txBody>
    </xdr:sp>
    <xdr:clientData/>
  </xdr:twoCellAnchor>
  <xdr:twoCellAnchor>
    <xdr:from>
      <xdr:col>45</xdr:col>
      <xdr:colOff>416036</xdr:colOff>
      <xdr:row>14</xdr:row>
      <xdr:rowOff>1051034</xdr:rowOff>
    </xdr:from>
    <xdr:to>
      <xdr:col>46</xdr:col>
      <xdr:colOff>499686</xdr:colOff>
      <xdr:row>15</xdr:row>
      <xdr:rowOff>786922</xdr:rowOff>
    </xdr:to>
    <xdr:sp macro="" textlink="">
      <xdr:nvSpPr>
        <xdr:cNvPr id="198" name="TextBox 197">
          <a:extLst>
            <a:ext uri="{FF2B5EF4-FFF2-40B4-BE49-F238E27FC236}">
              <a16:creationId xmlns:a16="http://schemas.microsoft.com/office/drawing/2014/main" id="{0848A39C-84B1-4E49-AF32-D46EC6CA1502}"/>
            </a:ext>
          </a:extLst>
        </xdr:cNvPr>
        <xdr:cNvSpPr txBox="1"/>
      </xdr:nvSpPr>
      <xdr:spPr>
        <a:xfrm flipH="1">
          <a:off x="58201036" y="7269655"/>
          <a:ext cx="1222271" cy="940198"/>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1.5</a:t>
          </a:r>
        </a:p>
      </xdr:txBody>
    </xdr:sp>
    <xdr:clientData/>
  </xdr:twoCellAnchor>
  <xdr:twoCellAnchor>
    <xdr:from>
      <xdr:col>36</xdr:col>
      <xdr:colOff>65689</xdr:colOff>
      <xdr:row>20</xdr:row>
      <xdr:rowOff>525516</xdr:rowOff>
    </xdr:from>
    <xdr:to>
      <xdr:col>37</xdr:col>
      <xdr:colOff>149340</xdr:colOff>
      <xdr:row>21</xdr:row>
      <xdr:rowOff>699334</xdr:rowOff>
    </xdr:to>
    <xdr:sp macro="" textlink="">
      <xdr:nvSpPr>
        <xdr:cNvPr id="199" name="TextBox 198">
          <a:extLst>
            <a:ext uri="{FF2B5EF4-FFF2-40B4-BE49-F238E27FC236}">
              <a16:creationId xmlns:a16="http://schemas.microsoft.com/office/drawing/2014/main" id="{B0CBC76E-26A4-476F-9FDA-95DD3B63C69D}"/>
            </a:ext>
          </a:extLst>
        </xdr:cNvPr>
        <xdr:cNvSpPr txBox="1"/>
      </xdr:nvSpPr>
      <xdr:spPr>
        <a:xfrm flipH="1">
          <a:off x="47603103" y="12524826"/>
          <a:ext cx="1222271" cy="940198"/>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1.6</a:t>
          </a:r>
        </a:p>
      </xdr:txBody>
    </xdr:sp>
    <xdr:clientData/>
  </xdr:twoCellAnchor>
  <xdr:twoCellAnchor>
    <xdr:from>
      <xdr:col>41</xdr:col>
      <xdr:colOff>656896</xdr:colOff>
      <xdr:row>20</xdr:row>
      <xdr:rowOff>591205</xdr:rowOff>
    </xdr:from>
    <xdr:to>
      <xdr:col>42</xdr:col>
      <xdr:colOff>740546</xdr:colOff>
      <xdr:row>21</xdr:row>
      <xdr:rowOff>765023</xdr:rowOff>
    </xdr:to>
    <xdr:sp macro="" textlink="">
      <xdr:nvSpPr>
        <xdr:cNvPr id="200" name="TextBox 199">
          <a:extLst>
            <a:ext uri="{FF2B5EF4-FFF2-40B4-BE49-F238E27FC236}">
              <a16:creationId xmlns:a16="http://schemas.microsoft.com/office/drawing/2014/main" id="{5797CFD5-7E65-4EC2-9E3C-C4D8305B3C34}"/>
            </a:ext>
          </a:extLst>
        </xdr:cNvPr>
        <xdr:cNvSpPr txBox="1"/>
      </xdr:nvSpPr>
      <xdr:spPr>
        <a:xfrm flipH="1">
          <a:off x="53887413" y="12590515"/>
          <a:ext cx="1222271" cy="940198"/>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2.5</a:t>
          </a:r>
        </a:p>
      </xdr:txBody>
    </xdr:sp>
    <xdr:clientData/>
  </xdr:twoCellAnchor>
  <xdr:twoCellAnchor>
    <xdr:from>
      <xdr:col>45</xdr:col>
      <xdr:colOff>306551</xdr:colOff>
      <xdr:row>17</xdr:row>
      <xdr:rowOff>547412</xdr:rowOff>
    </xdr:from>
    <xdr:to>
      <xdr:col>46</xdr:col>
      <xdr:colOff>390201</xdr:colOff>
      <xdr:row>18</xdr:row>
      <xdr:rowOff>721230</xdr:rowOff>
    </xdr:to>
    <xdr:sp macro="" textlink="">
      <xdr:nvSpPr>
        <xdr:cNvPr id="201" name="TextBox 200">
          <a:extLst>
            <a:ext uri="{FF2B5EF4-FFF2-40B4-BE49-F238E27FC236}">
              <a16:creationId xmlns:a16="http://schemas.microsoft.com/office/drawing/2014/main" id="{2C39C905-0339-4E16-A4DD-1760AD7BB055}"/>
            </a:ext>
          </a:extLst>
        </xdr:cNvPr>
        <xdr:cNvSpPr txBox="1"/>
      </xdr:nvSpPr>
      <xdr:spPr>
        <a:xfrm flipH="1">
          <a:off x="58091551" y="10247584"/>
          <a:ext cx="1222271" cy="940198"/>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1.6</a:t>
          </a:r>
        </a:p>
      </xdr:txBody>
    </xdr:sp>
    <xdr:clientData/>
  </xdr:twoCellAnchor>
  <xdr:twoCellAnchor>
    <xdr:from>
      <xdr:col>45</xdr:col>
      <xdr:colOff>299584</xdr:colOff>
      <xdr:row>20</xdr:row>
      <xdr:rowOff>109482</xdr:rowOff>
    </xdr:from>
    <xdr:to>
      <xdr:col>46</xdr:col>
      <xdr:colOff>383234</xdr:colOff>
      <xdr:row>21</xdr:row>
      <xdr:rowOff>267375</xdr:rowOff>
    </xdr:to>
    <xdr:sp macro="" textlink="">
      <xdr:nvSpPr>
        <xdr:cNvPr id="202" name="TextBox 201">
          <a:extLst>
            <a:ext uri="{FF2B5EF4-FFF2-40B4-BE49-F238E27FC236}">
              <a16:creationId xmlns:a16="http://schemas.microsoft.com/office/drawing/2014/main" id="{BFDF16E4-0818-4636-8CC1-CE76FCDDA18F}"/>
            </a:ext>
          </a:extLst>
        </xdr:cNvPr>
        <xdr:cNvSpPr txBox="1"/>
      </xdr:nvSpPr>
      <xdr:spPr>
        <a:xfrm flipH="1">
          <a:off x="58113448" y="12087891"/>
          <a:ext cx="1209331" cy="908348"/>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2.5</a:t>
          </a:r>
        </a:p>
      </xdr:txBody>
    </xdr:sp>
    <xdr:clientData/>
  </xdr:twoCellAnchor>
  <xdr:twoCellAnchor>
    <xdr:from>
      <xdr:col>12</xdr:col>
      <xdr:colOff>963447</xdr:colOff>
      <xdr:row>80</xdr:row>
      <xdr:rowOff>218966</xdr:rowOff>
    </xdr:from>
    <xdr:to>
      <xdr:col>14</xdr:col>
      <xdr:colOff>700689</xdr:colOff>
      <xdr:row>86</xdr:row>
      <xdr:rowOff>65689</xdr:rowOff>
    </xdr:to>
    <xdr:sp macro="" textlink="">
      <xdr:nvSpPr>
        <xdr:cNvPr id="203" name="TextBox 202">
          <a:extLst>
            <a:ext uri="{FF2B5EF4-FFF2-40B4-BE49-F238E27FC236}">
              <a16:creationId xmlns:a16="http://schemas.microsoft.com/office/drawing/2014/main" id="{728913BC-1C81-4CDA-A686-59775E1B7F64}"/>
            </a:ext>
          </a:extLst>
        </xdr:cNvPr>
        <xdr:cNvSpPr txBox="1"/>
      </xdr:nvSpPr>
      <xdr:spPr>
        <a:xfrm flipH="1">
          <a:off x="16794654" y="36041725"/>
          <a:ext cx="2496207" cy="1554654"/>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800" b="1">
              <a:solidFill>
                <a:schemeClr val="tx1"/>
              </a:solidFill>
            </a:rPr>
            <a:t>15</a:t>
          </a:r>
        </a:p>
      </xdr:txBody>
    </xdr:sp>
    <xdr:clientData/>
  </xdr:twoCellAnchor>
  <xdr:twoCellAnchor>
    <xdr:from>
      <xdr:col>10</xdr:col>
      <xdr:colOff>985344</xdr:colOff>
      <xdr:row>63</xdr:row>
      <xdr:rowOff>8985</xdr:rowOff>
    </xdr:from>
    <xdr:to>
      <xdr:col>11</xdr:col>
      <xdr:colOff>983499</xdr:colOff>
      <xdr:row>65</xdr:row>
      <xdr:rowOff>175171</xdr:rowOff>
    </xdr:to>
    <xdr:sp macro="" textlink="">
      <xdr:nvSpPr>
        <xdr:cNvPr id="204" name="TextBox 203">
          <a:extLst>
            <a:ext uri="{FF2B5EF4-FFF2-40B4-BE49-F238E27FC236}">
              <a16:creationId xmlns:a16="http://schemas.microsoft.com/office/drawing/2014/main" id="{616905CA-7CDE-44EA-A44B-A57438B57E75}"/>
            </a:ext>
          </a:extLst>
        </xdr:cNvPr>
        <xdr:cNvSpPr txBox="1"/>
      </xdr:nvSpPr>
      <xdr:spPr>
        <a:xfrm flipH="1">
          <a:off x="14057585" y="28540192"/>
          <a:ext cx="1377638" cy="998255"/>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u="none">
              <a:solidFill>
                <a:schemeClr val="tx1"/>
              </a:solidFill>
            </a:rPr>
            <a:t>5</a:t>
          </a:r>
        </a:p>
      </xdr:txBody>
    </xdr:sp>
    <xdr:clientData/>
  </xdr:twoCellAnchor>
  <xdr:twoCellAnchor>
    <xdr:from>
      <xdr:col>49</xdr:col>
      <xdr:colOff>832067</xdr:colOff>
      <xdr:row>13</xdr:row>
      <xdr:rowOff>23295</xdr:rowOff>
    </xdr:from>
    <xdr:to>
      <xdr:col>55</xdr:col>
      <xdr:colOff>21896</xdr:colOff>
      <xdr:row>13</xdr:row>
      <xdr:rowOff>919655</xdr:rowOff>
    </xdr:to>
    <xdr:sp macro="" textlink="">
      <xdr:nvSpPr>
        <xdr:cNvPr id="205" name="TextBox 204">
          <a:extLst>
            <a:ext uri="{FF2B5EF4-FFF2-40B4-BE49-F238E27FC236}">
              <a16:creationId xmlns:a16="http://schemas.microsoft.com/office/drawing/2014/main" id="{A00C4FF7-6B54-4D8B-8279-841F9B5B8C29}"/>
            </a:ext>
          </a:extLst>
        </xdr:cNvPr>
        <xdr:cNvSpPr txBox="1"/>
      </xdr:nvSpPr>
      <xdr:spPr>
        <a:xfrm flipH="1">
          <a:off x="63171550" y="4993812"/>
          <a:ext cx="2299139" cy="896360"/>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1-15</a:t>
          </a:r>
        </a:p>
      </xdr:txBody>
    </xdr:sp>
    <xdr:clientData/>
  </xdr:twoCellAnchor>
  <xdr:twoCellAnchor>
    <xdr:from>
      <xdr:col>0</xdr:col>
      <xdr:colOff>368566</xdr:colOff>
      <xdr:row>107</xdr:row>
      <xdr:rowOff>184155</xdr:rowOff>
    </xdr:from>
    <xdr:to>
      <xdr:col>46</xdr:col>
      <xdr:colOff>79930</xdr:colOff>
      <xdr:row>150</xdr:row>
      <xdr:rowOff>341924</xdr:rowOff>
    </xdr:to>
    <xdr:sp macro="" textlink="">
      <xdr:nvSpPr>
        <xdr:cNvPr id="82" name="Rectangle 81">
          <a:extLst>
            <a:ext uri="{FF2B5EF4-FFF2-40B4-BE49-F238E27FC236}">
              <a16:creationId xmlns:a16="http://schemas.microsoft.com/office/drawing/2014/main" id="{BD202D96-DE8F-4D3A-8B33-2A11F494F60D}"/>
            </a:ext>
          </a:extLst>
        </xdr:cNvPr>
        <xdr:cNvSpPr/>
      </xdr:nvSpPr>
      <xdr:spPr>
        <a:xfrm>
          <a:off x="368566" y="44585309"/>
          <a:ext cx="58448864" cy="15910653"/>
        </a:xfrm>
        <a:prstGeom prst="rect">
          <a:avLst/>
        </a:prstGeom>
        <a:solidFill>
          <a:schemeClr val="bg1"/>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4000" b="0" baseline="0">
            <a:solidFill>
              <a:schemeClr val="bg1"/>
            </a:solidFill>
            <a:latin typeface="+mn-lt"/>
            <a:ea typeface="+mn-ea"/>
            <a:cs typeface="+mn-cs"/>
          </a:endParaRPr>
        </a:p>
      </xdr:txBody>
    </xdr:sp>
    <xdr:clientData/>
  </xdr:twoCellAnchor>
  <xdr:twoCellAnchor>
    <xdr:from>
      <xdr:col>0</xdr:col>
      <xdr:colOff>1096819</xdr:colOff>
      <xdr:row>108</xdr:row>
      <xdr:rowOff>173181</xdr:rowOff>
    </xdr:from>
    <xdr:to>
      <xdr:col>2</xdr:col>
      <xdr:colOff>317499</xdr:colOff>
      <xdr:row>110</xdr:row>
      <xdr:rowOff>317499</xdr:rowOff>
    </xdr:to>
    <xdr:sp macro="" textlink="">
      <xdr:nvSpPr>
        <xdr:cNvPr id="83" name="TextBox 82">
          <a:extLst>
            <a:ext uri="{FF2B5EF4-FFF2-40B4-BE49-F238E27FC236}">
              <a16:creationId xmlns:a16="http://schemas.microsoft.com/office/drawing/2014/main" id="{26E85350-4555-46E9-84E7-F4B2B07E9918}"/>
            </a:ext>
          </a:extLst>
        </xdr:cNvPr>
        <xdr:cNvSpPr txBox="1"/>
      </xdr:nvSpPr>
      <xdr:spPr>
        <a:xfrm>
          <a:off x="1096819" y="46037499"/>
          <a:ext cx="1558635" cy="894773"/>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1</a:t>
          </a:r>
        </a:p>
      </xdr:txBody>
    </xdr:sp>
    <xdr:clientData/>
  </xdr:twoCellAnchor>
  <xdr:twoCellAnchor>
    <xdr:from>
      <xdr:col>0</xdr:col>
      <xdr:colOff>1053253</xdr:colOff>
      <xdr:row>114</xdr:row>
      <xdr:rowOff>184156</xdr:rowOff>
    </xdr:from>
    <xdr:to>
      <xdr:col>2</xdr:col>
      <xdr:colOff>288635</xdr:colOff>
      <xdr:row>117</xdr:row>
      <xdr:rowOff>0</xdr:rowOff>
    </xdr:to>
    <xdr:sp macro="" textlink="">
      <xdr:nvSpPr>
        <xdr:cNvPr id="85" name="TextBox 84">
          <a:extLst>
            <a:ext uri="{FF2B5EF4-FFF2-40B4-BE49-F238E27FC236}">
              <a16:creationId xmlns:a16="http://schemas.microsoft.com/office/drawing/2014/main" id="{4CF29B59-D5E8-4CAE-8CB5-B55B4B0D156F}"/>
            </a:ext>
          </a:extLst>
        </xdr:cNvPr>
        <xdr:cNvSpPr txBox="1"/>
      </xdr:nvSpPr>
      <xdr:spPr>
        <a:xfrm flipH="1">
          <a:off x="1053253" y="48299838"/>
          <a:ext cx="1573337" cy="941526"/>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1st</a:t>
          </a:r>
        </a:p>
      </xdr:txBody>
    </xdr:sp>
    <xdr:clientData/>
  </xdr:twoCellAnchor>
  <xdr:twoCellAnchor>
    <xdr:from>
      <xdr:col>0</xdr:col>
      <xdr:colOff>979686</xdr:colOff>
      <xdr:row>133</xdr:row>
      <xdr:rowOff>107279</xdr:rowOff>
    </xdr:from>
    <xdr:to>
      <xdr:col>2</xdr:col>
      <xdr:colOff>176526</xdr:colOff>
      <xdr:row>135</xdr:row>
      <xdr:rowOff>312457</xdr:rowOff>
    </xdr:to>
    <xdr:sp macro="" textlink="">
      <xdr:nvSpPr>
        <xdr:cNvPr id="86" name="TextBox 85">
          <a:extLst>
            <a:ext uri="{FF2B5EF4-FFF2-40B4-BE49-F238E27FC236}">
              <a16:creationId xmlns:a16="http://schemas.microsoft.com/office/drawing/2014/main" id="{DCEDF021-3354-4CF4-B35A-E3FC6A3E8971}"/>
            </a:ext>
          </a:extLst>
        </xdr:cNvPr>
        <xdr:cNvSpPr txBox="1"/>
      </xdr:nvSpPr>
      <xdr:spPr>
        <a:xfrm flipH="1">
          <a:off x="979686" y="54033433"/>
          <a:ext cx="1541455" cy="937870"/>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2nd</a:t>
          </a:r>
        </a:p>
      </xdr:txBody>
    </xdr:sp>
    <xdr:clientData/>
  </xdr:twoCellAnchor>
  <xdr:twoCellAnchor>
    <xdr:from>
      <xdr:col>2</xdr:col>
      <xdr:colOff>865909</xdr:colOff>
      <xdr:row>108</xdr:row>
      <xdr:rowOff>38818</xdr:rowOff>
    </xdr:from>
    <xdr:to>
      <xdr:col>45</xdr:col>
      <xdr:colOff>837045</xdr:colOff>
      <xdr:row>112</xdr:row>
      <xdr:rowOff>230909</xdr:rowOff>
    </xdr:to>
    <xdr:sp macro="" textlink="">
      <xdr:nvSpPr>
        <xdr:cNvPr id="87" name="Rectangle 86">
          <a:extLst>
            <a:ext uri="{FF2B5EF4-FFF2-40B4-BE49-F238E27FC236}">
              <a16:creationId xmlns:a16="http://schemas.microsoft.com/office/drawing/2014/main" id="{98AF4CB0-4680-4BDD-AFAE-9CE16815EAF3}"/>
            </a:ext>
          </a:extLst>
        </xdr:cNvPr>
        <xdr:cNvSpPr/>
      </xdr:nvSpPr>
      <xdr:spPr>
        <a:xfrm>
          <a:off x="3203864" y="45903136"/>
          <a:ext cx="55447045" cy="1693000"/>
        </a:xfrm>
        <a:prstGeom prst="rect">
          <a:avLst/>
        </a:prstGeom>
        <a:solidFill>
          <a:srgbClr val="FFCC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4000" b="0" baseline="0">
              <a:solidFill>
                <a:schemeClr val="tx1"/>
              </a:solidFill>
              <a:latin typeface="+mn-lt"/>
              <a:ea typeface="+mn-ea"/>
              <a:cs typeface="+mn-cs"/>
            </a:rPr>
            <a:t>ช่วงเตรียมการจัดทำ </a:t>
          </a:r>
          <a:r>
            <a:rPr lang="en-US" sz="4000" b="0" baseline="0">
              <a:solidFill>
                <a:schemeClr val="tx1"/>
              </a:solidFill>
              <a:latin typeface="+mn-lt"/>
              <a:ea typeface="+mn-ea"/>
              <a:cs typeface="+mn-cs"/>
            </a:rPr>
            <a:t>MBO </a:t>
          </a:r>
          <a:r>
            <a:rPr lang="th-TH" sz="4000" b="0" baseline="0">
              <a:solidFill>
                <a:schemeClr val="tx1"/>
              </a:solidFill>
              <a:latin typeface="+mn-lt"/>
              <a:ea typeface="+mn-ea"/>
              <a:cs typeface="+mn-cs"/>
            </a:rPr>
            <a:t>ให้ปฏิบัติตามขั้นตอนที่เป็นตัวเลขในกรอบสีส้ม </a:t>
          </a:r>
          <a:r>
            <a:rPr lang="en-US" sz="4000" b="1" baseline="0">
              <a:solidFill>
                <a:srgbClr val="FF0000"/>
              </a:solidFill>
              <a:latin typeface="+mn-lt"/>
              <a:ea typeface="+mn-ea"/>
              <a:cs typeface="+mn-cs"/>
            </a:rPr>
            <a:t>[1]-[15] </a:t>
          </a:r>
          <a:r>
            <a:rPr lang="th-TH" sz="4000" b="0" baseline="0">
              <a:solidFill>
                <a:schemeClr val="tx1"/>
              </a:solidFill>
              <a:latin typeface="+mn-lt"/>
              <a:ea typeface="+mn-ea"/>
              <a:cs typeface="+mn-cs"/>
            </a:rPr>
            <a:t>เตรียมไว้ให้พร้อม จากนั้น หัวหน้างาน หรือ ผู้ประเมิน จะนัดพบเพื่อพูดคุย และตกลงร่วมกันเกี่ยวกับ </a:t>
          </a:r>
          <a:r>
            <a:rPr lang="en-US" sz="4000" b="0" baseline="0">
              <a:solidFill>
                <a:schemeClr val="tx1"/>
              </a:solidFill>
              <a:latin typeface="+mn-lt"/>
              <a:ea typeface="+mn-ea"/>
              <a:cs typeface="+mn-cs"/>
            </a:rPr>
            <a:t>MBO </a:t>
          </a:r>
          <a:r>
            <a:rPr lang="th-TH" sz="4000" b="0" baseline="0">
              <a:solidFill>
                <a:schemeClr val="tx1"/>
              </a:solidFill>
              <a:latin typeface="+mn-lt"/>
              <a:ea typeface="+mn-ea"/>
              <a:cs typeface="+mn-cs"/>
            </a:rPr>
            <a:t>และตัวชี้วัด </a:t>
          </a:r>
          <a:r>
            <a:rPr lang="en-US" sz="4000" b="0" baseline="0">
              <a:solidFill>
                <a:schemeClr val="tx1"/>
              </a:solidFill>
              <a:latin typeface="+mn-lt"/>
              <a:ea typeface="+mn-ea"/>
              <a:cs typeface="+mn-cs"/>
            </a:rPr>
            <a:t>5 </a:t>
          </a:r>
          <a:r>
            <a:rPr lang="th-TH" sz="4000" b="0" baseline="0">
              <a:solidFill>
                <a:schemeClr val="tx1"/>
              </a:solidFill>
              <a:latin typeface="+mn-lt"/>
              <a:ea typeface="+mn-ea"/>
              <a:cs typeface="+mn-cs"/>
            </a:rPr>
            <a:t>ระดับที่จะนำมาใช้วัดผลในปีนั้นๆ เมื่อหัวหน้า หรือ ผู้ประเมินได้มีการพูดคุยและทำการตกลงกับพนักงาน หรือ ผู้ถูกประเมินเป็นที่เรียบร้อยแล้ว จึงไปลงลายมือชื่อไว้ด้วยกัน ทั้งพนักงาน และหัวหน้างานที่เป็นผู้ประเมินทั้งคนที่ </a:t>
          </a:r>
          <a:r>
            <a:rPr lang="en-US" sz="4000" b="0" baseline="0">
              <a:solidFill>
                <a:schemeClr val="tx1"/>
              </a:solidFill>
              <a:latin typeface="+mn-lt"/>
              <a:ea typeface="+mn-ea"/>
              <a:cs typeface="+mn-cs"/>
            </a:rPr>
            <a:t>1 </a:t>
          </a:r>
          <a:r>
            <a:rPr lang="th-TH" sz="4000" b="0" baseline="0">
              <a:solidFill>
                <a:schemeClr val="tx1"/>
              </a:solidFill>
              <a:latin typeface="+mn-lt"/>
              <a:ea typeface="+mn-ea"/>
              <a:cs typeface="+mn-cs"/>
            </a:rPr>
            <a:t>และคนที่ </a:t>
          </a:r>
          <a:r>
            <a:rPr lang="en-US" sz="4000" b="0" baseline="0">
              <a:solidFill>
                <a:schemeClr val="tx1"/>
              </a:solidFill>
              <a:latin typeface="+mn-lt"/>
              <a:ea typeface="+mn-ea"/>
              <a:cs typeface="+mn-cs"/>
            </a:rPr>
            <a:t>2 </a:t>
          </a:r>
          <a:r>
            <a:rPr lang="th-TH" sz="4000" b="0" baseline="0">
              <a:solidFill>
                <a:schemeClr val="tx1"/>
              </a:solidFill>
              <a:latin typeface="+mn-lt"/>
              <a:ea typeface="+mn-ea"/>
              <a:cs typeface="+mn-cs"/>
            </a:rPr>
            <a:t>ณ ตำแหน่งหมายเลข </a:t>
          </a:r>
          <a:r>
            <a:rPr lang="en-US" sz="4000" b="1" baseline="0">
              <a:solidFill>
                <a:srgbClr val="FF0000"/>
              </a:solidFill>
              <a:latin typeface="+mn-lt"/>
              <a:ea typeface="+mn-ea"/>
              <a:cs typeface="+mn-cs"/>
            </a:rPr>
            <a:t>[16]</a:t>
          </a:r>
        </a:p>
      </xdr:txBody>
    </xdr:sp>
    <xdr:clientData/>
  </xdr:twoCellAnchor>
  <xdr:twoCellAnchor>
    <xdr:from>
      <xdr:col>2</xdr:col>
      <xdr:colOff>865910</xdr:colOff>
      <xdr:row>114</xdr:row>
      <xdr:rowOff>38817</xdr:rowOff>
    </xdr:from>
    <xdr:to>
      <xdr:col>45</xdr:col>
      <xdr:colOff>837045</xdr:colOff>
      <xdr:row>130</xdr:row>
      <xdr:rowOff>18143</xdr:rowOff>
    </xdr:to>
    <xdr:sp macro="" textlink="">
      <xdr:nvSpPr>
        <xdr:cNvPr id="88" name="Rectangle 87">
          <a:extLst>
            <a:ext uri="{FF2B5EF4-FFF2-40B4-BE49-F238E27FC236}">
              <a16:creationId xmlns:a16="http://schemas.microsoft.com/office/drawing/2014/main" id="{423B5195-67AB-4781-873C-0858E1A4B179}"/>
            </a:ext>
          </a:extLst>
        </xdr:cNvPr>
        <xdr:cNvSpPr/>
      </xdr:nvSpPr>
      <xdr:spPr>
        <a:xfrm>
          <a:off x="3206339" y="47173960"/>
          <a:ext cx="55379420" cy="5785040"/>
        </a:xfrm>
        <a:prstGeom prst="rect">
          <a:avLst/>
        </a:prstGeom>
        <a:solidFill>
          <a:srgbClr val="FFCCFF"/>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5400" b="0" baseline="0">
              <a:solidFill>
                <a:schemeClr val="tx1"/>
              </a:solidFill>
              <a:latin typeface="+mn-lt"/>
              <a:ea typeface="+mn-ea"/>
              <a:cs typeface="+mn-cs"/>
              <a:sym typeface="Wingdings 2" panose="05020102010507070707" pitchFamily="18" charset="2"/>
            </a:rPr>
            <a:t></a:t>
          </a:r>
          <a:r>
            <a:rPr lang="th-TH" sz="4000" b="0" baseline="0">
              <a:solidFill>
                <a:schemeClr val="tx1"/>
              </a:solidFill>
              <a:latin typeface="+mn-lt"/>
              <a:ea typeface="+mn-ea"/>
              <a:cs typeface="+mn-cs"/>
            </a:rPr>
            <a:t>จัดทำ</a:t>
          </a:r>
          <a:r>
            <a:rPr lang="th-TH" sz="4000" b="1" u="sng" baseline="0">
              <a:solidFill>
                <a:srgbClr val="FF0000"/>
              </a:solidFill>
              <a:latin typeface="+mn-lt"/>
              <a:ea typeface="+mn-ea"/>
              <a:cs typeface="+mn-cs"/>
            </a:rPr>
            <a:t>ในช่วงการประเมินผลกลางปี</a:t>
          </a:r>
          <a:r>
            <a:rPr lang="en-US" sz="4000" b="1" u="sng" baseline="0">
              <a:solidFill>
                <a:srgbClr val="FF0000"/>
              </a:solidFill>
              <a:latin typeface="+mn-lt"/>
              <a:ea typeface="+mn-ea"/>
              <a:cs typeface="+mn-cs"/>
            </a:rPr>
            <a:t> (</a:t>
          </a:r>
          <a:r>
            <a:rPr lang="th-TH" sz="4000" b="1" u="sng" baseline="0">
              <a:solidFill>
                <a:srgbClr val="FF0000"/>
              </a:solidFill>
              <a:latin typeface="+mn-lt"/>
              <a:ea typeface="+mn-ea"/>
              <a:cs typeface="+mn-cs"/>
            </a:rPr>
            <a:t>ตั้งแต่ </a:t>
          </a:r>
          <a:r>
            <a:rPr lang="en-US" sz="4000" b="1" u="sng" baseline="0">
              <a:solidFill>
                <a:srgbClr val="FF0000"/>
              </a:solidFill>
              <a:latin typeface="+mn-lt"/>
              <a:ea typeface="+mn-ea"/>
              <a:cs typeface="+mn-cs"/>
            </a:rPr>
            <a:t>1 </a:t>
          </a:r>
          <a:r>
            <a:rPr lang="th-TH" sz="4000" b="1" u="sng" baseline="0">
              <a:solidFill>
                <a:srgbClr val="FF0000"/>
              </a:solidFill>
              <a:latin typeface="+mn-lt"/>
              <a:ea typeface="+mn-ea"/>
              <a:cs typeface="+mn-cs"/>
            </a:rPr>
            <a:t>พฤษภาคม) </a:t>
          </a:r>
          <a:r>
            <a:rPr lang="th-TH" sz="4000" b="0" baseline="0">
              <a:solidFill>
                <a:schemeClr val="tx1"/>
              </a:solidFill>
              <a:latin typeface="+mn-lt"/>
              <a:ea typeface="+mn-ea"/>
              <a:cs typeface="+mn-cs"/>
            </a:rPr>
            <a:t>เป็นการบันทึกความสำเร็จ</a:t>
          </a:r>
          <a:r>
            <a:rPr lang="en-US" sz="4000" b="0" baseline="0">
              <a:solidFill>
                <a:schemeClr val="tx1"/>
              </a:solidFill>
              <a:latin typeface="+mn-lt"/>
              <a:ea typeface="+mn-ea"/>
              <a:cs typeface="+mn-cs"/>
            </a:rPr>
            <a:t> </a:t>
          </a:r>
          <a:r>
            <a:rPr lang="th-TH" sz="4000" b="0" baseline="0">
              <a:solidFill>
                <a:schemeClr val="tx1"/>
              </a:solidFill>
              <a:latin typeface="+mn-lt"/>
              <a:ea typeface="+mn-ea"/>
              <a:cs typeface="+mn-cs"/>
            </a:rPr>
            <a:t>หรือ ความคืบหน้าของแผนปฏิบัติงาน </a:t>
          </a:r>
          <a:r>
            <a:rPr lang="en-US" sz="4000" b="0" baseline="0">
              <a:solidFill>
                <a:schemeClr val="tx1"/>
              </a:solidFill>
              <a:latin typeface="+mn-lt"/>
              <a:ea typeface="+mn-ea"/>
              <a:cs typeface="+mn-cs"/>
            </a:rPr>
            <a:t>[1.1] </a:t>
          </a:r>
          <a:r>
            <a:rPr lang="th-TH" sz="4000" b="0" baseline="0">
              <a:solidFill>
                <a:schemeClr val="tx1"/>
              </a:solidFill>
              <a:latin typeface="+mn-lt"/>
              <a:ea typeface="+mn-ea"/>
              <a:cs typeface="+mn-cs"/>
            </a:rPr>
            <a:t>ในช่วงครึ่งปีแรก</a:t>
          </a:r>
          <a:r>
            <a:rPr lang="en-US" sz="4000" b="0" baseline="0">
              <a:solidFill>
                <a:schemeClr val="tx1"/>
              </a:solidFill>
              <a:latin typeface="+mn-lt"/>
              <a:ea typeface="+mn-ea"/>
              <a:cs typeface="+mn-cs"/>
            </a:rPr>
            <a:t> </a:t>
          </a:r>
          <a:r>
            <a:rPr lang="th-TH" sz="4000" b="0" baseline="0">
              <a:solidFill>
                <a:schemeClr val="tx1"/>
              </a:solidFill>
              <a:latin typeface="+mn-lt"/>
              <a:ea typeface="+mn-ea"/>
              <a:cs typeface="+mn-cs"/>
            </a:rPr>
            <a:t>บันทึกผลลัพธ์ที่เกิดขึ้น </a:t>
          </a:r>
          <a:r>
            <a:rPr lang="en-US" sz="4000" b="0" baseline="0">
              <a:solidFill>
                <a:schemeClr val="tx1"/>
              </a:solidFill>
              <a:latin typeface="+mn-lt"/>
              <a:ea typeface="+mn-ea"/>
              <a:cs typeface="+mn-cs"/>
            </a:rPr>
            <a:t>[1.2] </a:t>
          </a:r>
          <a:r>
            <a:rPr lang="th-TH" sz="4000" b="0" baseline="0">
              <a:solidFill>
                <a:schemeClr val="tx1"/>
              </a:solidFill>
              <a:latin typeface="+mn-lt"/>
              <a:ea typeface="+mn-ea"/>
              <a:cs typeface="+mn-cs"/>
            </a:rPr>
            <a:t>พร้อมกับประเมินตนเองโดยอิงตามเกณฑ์ของตัวชี้วัด </a:t>
          </a:r>
          <a:r>
            <a:rPr lang="en-US" sz="4000" b="0" baseline="0">
              <a:solidFill>
                <a:schemeClr val="tx1"/>
              </a:solidFill>
              <a:latin typeface="+mn-lt"/>
              <a:ea typeface="+mn-ea"/>
              <a:cs typeface="+mn-cs"/>
            </a:rPr>
            <a:t>5 </a:t>
          </a:r>
          <a:r>
            <a:rPr lang="th-TH" sz="4000" b="0" baseline="0">
              <a:solidFill>
                <a:schemeClr val="tx1"/>
              </a:solidFill>
              <a:latin typeface="+mn-lt"/>
              <a:ea typeface="+mn-ea"/>
              <a:cs typeface="+mn-cs"/>
            </a:rPr>
            <a:t>ระดับที่ได้กำหนดไว้ ตรงตำแหน่งหมายเลข </a:t>
          </a:r>
          <a:r>
            <a:rPr lang="en-US" sz="4000" b="0" baseline="0">
              <a:solidFill>
                <a:schemeClr val="tx1"/>
              </a:solidFill>
              <a:latin typeface="+mn-lt"/>
              <a:ea typeface="+mn-ea"/>
              <a:cs typeface="+mn-cs"/>
            </a:rPr>
            <a:t>[9] </a:t>
          </a:r>
          <a:r>
            <a:rPr lang="th-TH" sz="4000" b="0" baseline="0">
              <a:solidFill>
                <a:schemeClr val="tx1"/>
              </a:solidFill>
              <a:latin typeface="+mn-lt"/>
              <a:ea typeface="+mn-ea"/>
              <a:cs typeface="+mn-cs"/>
            </a:rPr>
            <a:t>และ </a:t>
          </a:r>
          <a:r>
            <a:rPr lang="en-US" sz="4000" b="0" baseline="0">
              <a:solidFill>
                <a:schemeClr val="tx1"/>
              </a:solidFill>
              <a:latin typeface="+mn-lt"/>
              <a:ea typeface="+mn-ea"/>
              <a:cs typeface="+mn-cs"/>
            </a:rPr>
            <a:t>[13] </a:t>
          </a:r>
          <a:endParaRPr lang="th-TH" sz="4000" b="0" baseline="0">
            <a:solidFill>
              <a:schemeClr val="tx1"/>
            </a:solidFill>
            <a:latin typeface="+mn-lt"/>
            <a:ea typeface="+mn-ea"/>
            <a:cs typeface="+mn-cs"/>
          </a:endParaRPr>
        </a:p>
        <a:p>
          <a:pPr algn="l"/>
          <a:endParaRPr lang="th-TH" sz="4000" b="0" baseline="0">
            <a:solidFill>
              <a:schemeClr val="tx1"/>
            </a:solidFill>
            <a:latin typeface="+mn-lt"/>
            <a:ea typeface="+mn-ea"/>
            <a:cs typeface="+mn-cs"/>
          </a:endParaRPr>
        </a:p>
        <a:p>
          <a:pPr algn="l"/>
          <a:r>
            <a:rPr lang="th-TH" sz="5400" b="0" baseline="0">
              <a:solidFill>
                <a:schemeClr val="tx1"/>
              </a:solidFill>
              <a:latin typeface="+mn-lt"/>
              <a:ea typeface="+mn-ea"/>
              <a:cs typeface="+mn-cs"/>
              <a:sym typeface="Wingdings 2" panose="05020102010507070707" pitchFamily="18" charset="2"/>
            </a:rPr>
            <a:t></a:t>
          </a:r>
          <a:r>
            <a:rPr lang="th-TH" sz="4000" b="0" baseline="0">
              <a:solidFill>
                <a:schemeClr val="tx1"/>
              </a:solidFill>
              <a:latin typeface="+mn-lt"/>
              <a:ea typeface="+mn-ea"/>
              <a:cs typeface="+mn-cs"/>
            </a:rPr>
            <a:t>และรอเข้าพบหัวหน้างาน หรือ ผู้ประเมินคนที่ </a:t>
          </a:r>
          <a:r>
            <a:rPr lang="en-US" sz="4000" b="0" baseline="0">
              <a:solidFill>
                <a:schemeClr val="tx1"/>
              </a:solidFill>
              <a:latin typeface="+mn-lt"/>
              <a:ea typeface="+mn-ea"/>
              <a:cs typeface="+mn-cs"/>
            </a:rPr>
            <a:t>1 </a:t>
          </a:r>
          <a:r>
            <a:rPr lang="th-TH" sz="4000" b="0" baseline="0">
              <a:solidFill>
                <a:schemeClr val="tx1"/>
              </a:solidFill>
              <a:latin typeface="+mn-lt"/>
              <a:ea typeface="+mn-ea"/>
              <a:cs typeface="+mn-cs"/>
            </a:rPr>
            <a:t>และผู้ประเมินคนที่ </a:t>
          </a:r>
          <a:r>
            <a:rPr lang="en-US" sz="4000" b="0" baseline="0">
              <a:solidFill>
                <a:schemeClr val="tx1"/>
              </a:solidFill>
              <a:latin typeface="+mn-lt"/>
              <a:ea typeface="+mn-ea"/>
              <a:cs typeface="+mn-cs"/>
            </a:rPr>
            <a:t>2</a:t>
          </a:r>
          <a:r>
            <a:rPr lang="th-TH" sz="4000" b="0" baseline="0">
              <a:solidFill>
                <a:schemeClr val="tx1"/>
              </a:solidFill>
              <a:latin typeface="+mn-lt"/>
              <a:ea typeface="+mn-ea"/>
              <a:cs typeface="+mn-cs"/>
            </a:rPr>
            <a:t> ตามที่นัดหมายเพื่อพูดคุย และถูกสัมภาษณ์เกี่ยวกับความคืบหน้า หรือ ผลสำเร็จ ณ ขณะนั้น ของ </a:t>
          </a:r>
          <a:r>
            <a:rPr lang="en-US" sz="4000" b="0" baseline="0">
              <a:solidFill>
                <a:schemeClr val="tx1"/>
              </a:solidFill>
              <a:latin typeface="+mn-lt"/>
              <a:ea typeface="+mn-ea"/>
              <a:cs typeface="+mn-cs"/>
            </a:rPr>
            <a:t>MBO </a:t>
          </a:r>
          <a:r>
            <a:rPr lang="th-TH" sz="4000" b="0" baseline="0">
              <a:solidFill>
                <a:schemeClr val="tx1"/>
              </a:solidFill>
              <a:latin typeface="+mn-lt"/>
              <a:ea typeface="+mn-ea"/>
              <a:cs typeface="+mn-cs"/>
            </a:rPr>
            <a:t>แต่ละข้อ </a:t>
          </a:r>
        </a:p>
        <a:p>
          <a:pPr algn="l"/>
          <a:endParaRPr lang="th-TH" sz="4000" b="0" baseline="0">
            <a:solidFill>
              <a:schemeClr val="tx1"/>
            </a:solidFill>
            <a:latin typeface="+mn-lt"/>
            <a:ea typeface="+mn-ea"/>
            <a:cs typeface="+mn-cs"/>
          </a:endParaRPr>
        </a:p>
        <a:p>
          <a:pPr algn="l"/>
          <a:r>
            <a:rPr lang="th-TH" sz="5400" b="0" baseline="0">
              <a:solidFill>
                <a:schemeClr val="tx1"/>
              </a:solidFill>
              <a:latin typeface="+mn-lt"/>
              <a:ea typeface="+mn-ea"/>
              <a:cs typeface="+mn-cs"/>
              <a:sym typeface="Wingdings 2" panose="05020102010507070707" pitchFamily="18" charset="2"/>
            </a:rPr>
            <a:t></a:t>
          </a:r>
          <a:r>
            <a:rPr lang="th-TH" sz="4000" b="0" baseline="0">
              <a:solidFill>
                <a:schemeClr val="tx1"/>
              </a:solidFill>
              <a:latin typeface="+mn-lt"/>
              <a:ea typeface="+mn-ea"/>
              <a:cs typeface="+mn-cs"/>
            </a:rPr>
            <a:t>ผู้ประเมินคนที่ </a:t>
          </a:r>
          <a:r>
            <a:rPr lang="en-US" sz="4000" b="0" baseline="0">
              <a:solidFill>
                <a:schemeClr val="tx1"/>
              </a:solidFill>
              <a:latin typeface="+mn-lt"/>
              <a:ea typeface="+mn-ea"/>
              <a:cs typeface="+mn-cs"/>
            </a:rPr>
            <a:t>1 </a:t>
          </a:r>
          <a:r>
            <a:rPr lang="th-TH" sz="4000" b="0" baseline="0">
              <a:solidFill>
                <a:schemeClr val="tx1"/>
              </a:solidFill>
              <a:latin typeface="+mn-lt"/>
              <a:ea typeface="+mn-ea"/>
              <a:cs typeface="+mn-cs"/>
            </a:rPr>
            <a:t>ให้คะแนนของตน (อิงเกณฑ์ที่กำหนดไว้ </a:t>
          </a:r>
          <a:r>
            <a:rPr lang="en-US" sz="4000" b="0" baseline="0">
              <a:solidFill>
                <a:schemeClr val="tx1"/>
              </a:solidFill>
              <a:latin typeface="+mn-lt"/>
              <a:ea typeface="+mn-ea"/>
              <a:cs typeface="+mn-cs"/>
            </a:rPr>
            <a:t>[9], [13]</a:t>
          </a:r>
          <a:r>
            <a:rPr lang="th-TH" sz="4000" b="0" baseline="0">
              <a:solidFill>
                <a:schemeClr val="tx1"/>
              </a:solidFill>
              <a:latin typeface="+mn-lt"/>
              <a:ea typeface="+mn-ea"/>
              <a:cs typeface="+mn-cs"/>
            </a:rPr>
            <a:t>) จากนั้นส่งต่อไปให้ผู้ประเมินคนที่ </a:t>
          </a:r>
          <a:r>
            <a:rPr lang="en-US" sz="4000" b="0" baseline="0">
              <a:solidFill>
                <a:schemeClr val="tx1"/>
              </a:solidFill>
              <a:latin typeface="+mn-lt"/>
              <a:ea typeface="+mn-ea"/>
              <a:cs typeface="+mn-cs"/>
            </a:rPr>
            <a:t>2</a:t>
          </a:r>
          <a:r>
            <a:rPr lang="th-TH" sz="4000" b="0" baseline="0">
              <a:solidFill>
                <a:schemeClr val="tx1"/>
              </a:solidFill>
              <a:latin typeface="+mn-lt"/>
              <a:ea typeface="+mn-ea"/>
              <a:cs typeface="+mn-cs"/>
            </a:rPr>
            <a:t> เพื่อให้คะแนน </a:t>
          </a:r>
          <a:r>
            <a:rPr lang="th-TH" sz="4000" b="0" baseline="0">
              <a:solidFill>
                <a:schemeClr val="tx1"/>
              </a:solidFill>
              <a:effectLst/>
              <a:latin typeface="+mn-lt"/>
              <a:ea typeface="+mn-ea"/>
              <a:cs typeface="+mn-cs"/>
            </a:rPr>
            <a:t>(อิงเกณฑ์ที่กำหนดไว้</a:t>
          </a:r>
          <a:r>
            <a:rPr lang="en-US" sz="4000" b="0" baseline="0">
              <a:solidFill>
                <a:schemeClr val="tx1"/>
              </a:solidFill>
              <a:effectLst/>
              <a:latin typeface="+mn-lt"/>
              <a:ea typeface="+mn-ea"/>
              <a:cs typeface="+mn-cs"/>
            </a:rPr>
            <a:t> [9], [13] )</a:t>
          </a:r>
          <a:r>
            <a:rPr lang="th-TH" sz="4000" b="0" baseline="0">
              <a:solidFill>
                <a:schemeClr val="tx1"/>
              </a:solidFill>
              <a:effectLst/>
              <a:latin typeface="+mn-lt"/>
              <a:ea typeface="+mn-ea"/>
              <a:cs typeface="+mn-cs"/>
            </a:rPr>
            <a:t> คะแนนของผู้ประเมินคนที่ </a:t>
          </a:r>
          <a:r>
            <a:rPr lang="en-US" sz="4000" b="0" baseline="0">
              <a:solidFill>
                <a:schemeClr val="tx1"/>
              </a:solidFill>
              <a:effectLst/>
              <a:latin typeface="+mn-lt"/>
              <a:ea typeface="+mn-ea"/>
              <a:cs typeface="+mn-cs"/>
            </a:rPr>
            <a:t>1 </a:t>
          </a:r>
          <a:r>
            <a:rPr lang="th-TH" sz="4000" b="0" baseline="0">
              <a:solidFill>
                <a:schemeClr val="tx1"/>
              </a:solidFill>
              <a:effectLst/>
              <a:latin typeface="+mn-lt"/>
              <a:ea typeface="+mn-ea"/>
              <a:cs typeface="+mn-cs"/>
            </a:rPr>
            <a:t>และ </a:t>
          </a:r>
          <a:r>
            <a:rPr lang="en-US" sz="4000" b="0" baseline="0">
              <a:solidFill>
                <a:schemeClr val="tx1"/>
              </a:solidFill>
              <a:effectLst/>
              <a:latin typeface="+mn-lt"/>
              <a:ea typeface="+mn-ea"/>
              <a:cs typeface="+mn-cs"/>
            </a:rPr>
            <a:t>2 </a:t>
          </a:r>
          <a:r>
            <a:rPr lang="th-TH" sz="4000" b="0" baseline="0">
              <a:solidFill>
                <a:schemeClr val="tx1"/>
              </a:solidFill>
              <a:effectLst/>
              <a:latin typeface="+mn-lt"/>
              <a:ea typeface="+mn-ea"/>
              <a:cs typeface="+mn-cs"/>
            </a:rPr>
            <a:t>ควรเป็นตัวเลขเดียวกัน (กรณีแตกต่าง ต้องพูดคุยกันเพื่อหาข้อสรุปตามหลักฐานที่พนักงานซึ่งเป็นผู้ถูกประเมินได้แนบมา) อย่างไรก็ตาม </a:t>
          </a:r>
          <a:r>
            <a:rPr lang="th-TH" sz="4000" b="1" u="sng" baseline="0">
              <a:solidFill>
                <a:srgbClr val="FF0000"/>
              </a:solidFill>
              <a:effectLst/>
              <a:latin typeface="+mn-lt"/>
              <a:ea typeface="+mn-ea"/>
              <a:cs typeface="+mn-cs"/>
            </a:rPr>
            <a:t>คะแนนของผู้ประเมินคนที่ </a:t>
          </a:r>
          <a:r>
            <a:rPr lang="en-US" sz="4000" b="1" u="sng" baseline="0">
              <a:solidFill>
                <a:srgbClr val="FF0000"/>
              </a:solidFill>
              <a:effectLst/>
              <a:latin typeface="+mn-lt"/>
              <a:ea typeface="+mn-ea"/>
              <a:cs typeface="+mn-cs"/>
            </a:rPr>
            <a:t>2</a:t>
          </a:r>
          <a:r>
            <a:rPr lang="th-TH" sz="4000" b="1" u="sng" baseline="0">
              <a:solidFill>
                <a:srgbClr val="FF0000"/>
              </a:solidFill>
              <a:effectLst/>
              <a:latin typeface="+mn-lt"/>
              <a:ea typeface="+mn-ea"/>
              <a:cs typeface="+mn-cs"/>
            </a:rPr>
            <a:t> ถือเป็นที่สิ้นสุดในระดับ </a:t>
          </a:r>
          <a:r>
            <a:rPr lang="en-US" sz="4000" b="1" u="sng" baseline="0">
              <a:solidFill>
                <a:srgbClr val="FF0000"/>
              </a:solidFill>
              <a:effectLst/>
              <a:latin typeface="+mn-lt"/>
              <a:ea typeface="+mn-ea"/>
              <a:cs typeface="+mn-cs"/>
            </a:rPr>
            <a:t>Division </a:t>
          </a:r>
          <a:r>
            <a:rPr lang="th-TH" sz="4000" b="1" u="sng" baseline="0">
              <a:solidFill>
                <a:srgbClr val="FF0000"/>
              </a:solidFill>
              <a:effectLst/>
              <a:latin typeface="+mn-lt"/>
              <a:ea typeface="+mn-ea"/>
              <a:cs typeface="+mn-cs"/>
            </a:rPr>
            <a:t>ที่จะนำส่งให้ </a:t>
          </a:r>
          <a:r>
            <a:rPr lang="en-US" sz="4000" b="1" u="sng" baseline="0">
              <a:solidFill>
                <a:srgbClr val="FF0000"/>
              </a:solidFill>
              <a:effectLst/>
              <a:latin typeface="+mn-lt"/>
              <a:ea typeface="+mn-ea"/>
              <a:cs typeface="+mn-cs"/>
            </a:rPr>
            <a:t>HR </a:t>
          </a:r>
          <a:r>
            <a:rPr lang="th-TH" sz="4000" b="1" u="sng" baseline="0">
              <a:solidFill>
                <a:srgbClr val="FF0000"/>
              </a:solidFill>
              <a:effectLst/>
              <a:latin typeface="+mn-lt"/>
              <a:ea typeface="+mn-ea"/>
              <a:cs typeface="+mn-cs"/>
            </a:rPr>
            <a:t>และ คณะกรรมการประเมินผลการปฏิบัติงานได้นำไปอิงเกณฑ์ต่อไป</a:t>
          </a:r>
        </a:p>
        <a:p>
          <a:pPr algn="l"/>
          <a:endParaRPr lang="en-US" sz="4000" b="0" baseline="0">
            <a:solidFill>
              <a:schemeClr val="tx1"/>
            </a:solidFill>
            <a:latin typeface="+mn-lt"/>
            <a:ea typeface="+mn-ea"/>
            <a:cs typeface="+mn-cs"/>
          </a:endParaRPr>
        </a:p>
      </xdr:txBody>
    </xdr:sp>
    <xdr:clientData/>
  </xdr:twoCellAnchor>
  <xdr:twoCellAnchor>
    <xdr:from>
      <xdr:col>2</xdr:col>
      <xdr:colOff>764473</xdr:colOff>
      <xdr:row>132</xdr:row>
      <xdr:rowOff>13695</xdr:rowOff>
    </xdr:from>
    <xdr:to>
      <xdr:col>45</xdr:col>
      <xdr:colOff>764473</xdr:colOff>
      <xdr:row>148</xdr:row>
      <xdr:rowOff>101879</xdr:rowOff>
    </xdr:to>
    <xdr:sp macro="" textlink="">
      <xdr:nvSpPr>
        <xdr:cNvPr id="89" name="Rectangle 88">
          <a:extLst>
            <a:ext uri="{FF2B5EF4-FFF2-40B4-BE49-F238E27FC236}">
              <a16:creationId xmlns:a16="http://schemas.microsoft.com/office/drawing/2014/main" id="{A2E21063-2EC6-4A0C-AE06-10FC3D6B4525}"/>
            </a:ext>
          </a:extLst>
        </xdr:cNvPr>
        <xdr:cNvSpPr/>
      </xdr:nvSpPr>
      <xdr:spPr>
        <a:xfrm>
          <a:off x="3109088" y="53573503"/>
          <a:ext cx="55269423" cy="5949722"/>
        </a:xfrm>
        <a:prstGeom prst="rect">
          <a:avLst/>
        </a:prstGeom>
        <a:solidFill>
          <a:srgbClr val="66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th-TH" sz="5400" b="0" baseline="0">
              <a:solidFill>
                <a:schemeClr val="tx1"/>
              </a:solidFill>
              <a:effectLst/>
              <a:latin typeface="+mn-lt"/>
              <a:ea typeface="+mn-ea"/>
              <a:cs typeface="+mn-cs"/>
              <a:sym typeface="Wingdings 2" panose="05020102010507070707" pitchFamily="18" charset="2"/>
            </a:rPr>
            <a:t></a:t>
          </a:r>
          <a:r>
            <a:rPr lang="th-TH" sz="4000" b="0" baseline="0">
              <a:solidFill>
                <a:schemeClr val="tx1"/>
              </a:solidFill>
              <a:latin typeface="+mn-lt"/>
              <a:ea typeface="+mn-ea"/>
              <a:cs typeface="+mn-cs"/>
            </a:rPr>
            <a:t>จัดทำ</a:t>
          </a:r>
          <a:r>
            <a:rPr lang="th-TH" sz="4000" b="1" baseline="0">
              <a:solidFill>
                <a:srgbClr val="FF0000"/>
              </a:solidFill>
              <a:latin typeface="+mn-lt"/>
              <a:ea typeface="+mn-ea"/>
              <a:cs typeface="+mn-cs"/>
            </a:rPr>
            <a:t>ในช่วงการประเมินผลปลายปี</a:t>
          </a:r>
          <a:r>
            <a:rPr lang="en-US" sz="4000" b="1" baseline="0">
              <a:solidFill>
                <a:srgbClr val="FF0000"/>
              </a:solidFill>
              <a:latin typeface="+mn-lt"/>
              <a:ea typeface="+mn-ea"/>
              <a:cs typeface="+mn-cs"/>
            </a:rPr>
            <a:t> (</a:t>
          </a:r>
          <a:r>
            <a:rPr lang="th-TH" sz="4000" b="1" baseline="0">
              <a:solidFill>
                <a:srgbClr val="FF0000"/>
              </a:solidFill>
              <a:latin typeface="+mn-lt"/>
              <a:ea typeface="+mn-ea"/>
              <a:cs typeface="+mn-cs"/>
            </a:rPr>
            <a:t>ตั้งแต่ </a:t>
          </a:r>
          <a:r>
            <a:rPr lang="en-US" sz="4000" b="1" baseline="0">
              <a:solidFill>
                <a:srgbClr val="FF0000"/>
              </a:solidFill>
              <a:latin typeface="+mn-lt"/>
              <a:ea typeface="+mn-ea"/>
              <a:cs typeface="+mn-cs"/>
            </a:rPr>
            <a:t>1 </a:t>
          </a:r>
          <a:r>
            <a:rPr lang="th-TH" sz="4000" b="1" baseline="0">
              <a:solidFill>
                <a:srgbClr val="FF0000"/>
              </a:solidFill>
              <a:latin typeface="+mn-lt"/>
              <a:ea typeface="+mn-ea"/>
              <a:cs typeface="+mn-cs"/>
            </a:rPr>
            <a:t>พฤศจิกายน) </a:t>
          </a:r>
          <a:r>
            <a:rPr lang="th-TH" sz="4000" b="0" baseline="0">
              <a:solidFill>
                <a:schemeClr val="tx1"/>
              </a:solidFill>
              <a:latin typeface="+mn-lt"/>
              <a:ea typeface="+mn-ea"/>
              <a:cs typeface="+mn-cs"/>
            </a:rPr>
            <a:t>เป็นการบันทึกความสำเร็จ</a:t>
          </a:r>
          <a:r>
            <a:rPr lang="en-US" sz="4000" b="0" baseline="0">
              <a:solidFill>
                <a:schemeClr val="tx1"/>
              </a:solidFill>
              <a:latin typeface="+mn-lt"/>
              <a:ea typeface="+mn-ea"/>
              <a:cs typeface="+mn-cs"/>
            </a:rPr>
            <a:t> </a:t>
          </a:r>
          <a:r>
            <a:rPr lang="th-TH" sz="4000" b="0" baseline="0">
              <a:solidFill>
                <a:schemeClr val="tx1"/>
              </a:solidFill>
              <a:latin typeface="+mn-lt"/>
              <a:ea typeface="+mn-ea"/>
              <a:cs typeface="+mn-cs"/>
            </a:rPr>
            <a:t>หรือ ความคืบหน้าของแผนปฏิบัติงาน </a:t>
          </a:r>
          <a:r>
            <a:rPr lang="en-US" sz="4000" b="0" baseline="0">
              <a:solidFill>
                <a:schemeClr val="tx1"/>
              </a:solidFill>
              <a:latin typeface="+mn-lt"/>
              <a:ea typeface="+mn-ea"/>
              <a:cs typeface="+mn-cs"/>
            </a:rPr>
            <a:t>[1.1] </a:t>
          </a:r>
          <a:r>
            <a:rPr lang="th-TH" sz="4000" b="0" baseline="0">
              <a:solidFill>
                <a:schemeClr val="tx1"/>
              </a:solidFill>
              <a:latin typeface="+mn-lt"/>
              <a:ea typeface="+mn-ea"/>
              <a:cs typeface="+mn-cs"/>
            </a:rPr>
            <a:t>ในช่วงครึ่งปีแรก</a:t>
          </a:r>
          <a:r>
            <a:rPr lang="en-US" sz="4000" b="0" baseline="0">
              <a:solidFill>
                <a:schemeClr val="tx1"/>
              </a:solidFill>
              <a:latin typeface="+mn-lt"/>
              <a:ea typeface="+mn-ea"/>
              <a:cs typeface="+mn-cs"/>
            </a:rPr>
            <a:t> </a:t>
          </a:r>
          <a:r>
            <a:rPr lang="th-TH" sz="4000" b="0" baseline="0">
              <a:solidFill>
                <a:schemeClr val="tx1"/>
              </a:solidFill>
              <a:latin typeface="+mn-lt"/>
              <a:ea typeface="+mn-ea"/>
              <a:cs typeface="+mn-cs"/>
            </a:rPr>
            <a:t>บันทึกผลลัพธ์ที่เกิดขึ้น </a:t>
          </a:r>
          <a:r>
            <a:rPr lang="en-US" sz="4000" b="0" baseline="0">
              <a:solidFill>
                <a:schemeClr val="tx1"/>
              </a:solidFill>
              <a:latin typeface="+mn-lt"/>
              <a:ea typeface="+mn-ea"/>
              <a:cs typeface="+mn-cs"/>
            </a:rPr>
            <a:t>[1.2] </a:t>
          </a:r>
          <a:r>
            <a:rPr lang="th-TH" sz="4000" b="0" baseline="0">
              <a:solidFill>
                <a:schemeClr val="tx1"/>
              </a:solidFill>
              <a:latin typeface="+mn-lt"/>
              <a:ea typeface="+mn-ea"/>
              <a:cs typeface="+mn-cs"/>
            </a:rPr>
            <a:t>พร้อมกับประเมินตนเองโดยอิงตามเกณฑ์ที่กำหนดไว้ </a:t>
          </a:r>
          <a:r>
            <a:rPr lang="en-US" sz="4000" b="0" baseline="0">
              <a:solidFill>
                <a:schemeClr val="tx1"/>
              </a:solidFill>
              <a:latin typeface="+mn-lt"/>
              <a:ea typeface="+mn-ea"/>
              <a:cs typeface="+mn-cs"/>
            </a:rPr>
            <a:t>5 </a:t>
          </a:r>
          <a:r>
            <a:rPr lang="th-TH" sz="4000" b="0" baseline="0">
              <a:solidFill>
                <a:schemeClr val="tx1"/>
              </a:solidFill>
              <a:latin typeface="+mn-lt"/>
              <a:ea typeface="+mn-ea"/>
              <a:cs typeface="+mn-cs"/>
            </a:rPr>
            <a:t>ระดับ ตรงตำแหน่งหมายเลข </a:t>
          </a:r>
          <a:r>
            <a:rPr lang="en-US" sz="4000" b="0" baseline="0">
              <a:solidFill>
                <a:schemeClr val="tx1"/>
              </a:solidFill>
              <a:latin typeface="+mn-lt"/>
              <a:ea typeface="+mn-ea"/>
              <a:cs typeface="+mn-cs"/>
            </a:rPr>
            <a:t>[9] </a:t>
          </a:r>
          <a:r>
            <a:rPr lang="th-TH" sz="4000" b="0" baseline="0">
              <a:solidFill>
                <a:schemeClr val="tx1"/>
              </a:solidFill>
              <a:latin typeface="+mn-lt"/>
              <a:ea typeface="+mn-ea"/>
              <a:cs typeface="+mn-cs"/>
            </a:rPr>
            <a:t>และ </a:t>
          </a:r>
          <a:r>
            <a:rPr lang="en-US" sz="4000" b="0" baseline="0">
              <a:solidFill>
                <a:schemeClr val="tx1"/>
              </a:solidFill>
              <a:latin typeface="+mn-lt"/>
              <a:ea typeface="+mn-ea"/>
              <a:cs typeface="+mn-cs"/>
            </a:rPr>
            <a:t>[13]</a:t>
          </a:r>
          <a:endParaRPr lang="th-TH" sz="4000" b="0" baseline="0">
            <a:solidFill>
              <a:schemeClr val="tx1"/>
            </a:solidFill>
            <a:latin typeface="+mn-lt"/>
            <a:ea typeface="+mn-ea"/>
            <a:cs typeface="+mn-cs"/>
          </a:endParaRPr>
        </a:p>
        <a:p>
          <a:pPr marL="0" indent="0" algn="l"/>
          <a:r>
            <a:rPr lang="en-US" sz="4000" b="0" baseline="0">
              <a:solidFill>
                <a:schemeClr val="tx1"/>
              </a:solidFill>
              <a:latin typeface="+mn-lt"/>
              <a:ea typeface="+mn-ea"/>
              <a:cs typeface="+mn-cs"/>
            </a:rPr>
            <a:t> </a:t>
          </a:r>
          <a:endParaRPr lang="th-TH" sz="4000" b="0" baseline="0">
            <a:solidFill>
              <a:schemeClr val="tx1"/>
            </a:solidFill>
            <a:latin typeface="+mn-lt"/>
            <a:ea typeface="+mn-ea"/>
            <a:cs typeface="+mn-cs"/>
          </a:endParaRPr>
        </a:p>
        <a:p>
          <a:r>
            <a:rPr lang="th-TH" sz="5400" b="0" baseline="0">
              <a:solidFill>
                <a:schemeClr val="tx1"/>
              </a:solidFill>
              <a:latin typeface="+mn-lt"/>
              <a:ea typeface="+mn-ea"/>
              <a:cs typeface="+mn-cs"/>
              <a:sym typeface="Wingdings 2" panose="05020102010507070707" pitchFamily="18" charset="2"/>
            </a:rPr>
            <a:t></a:t>
          </a:r>
          <a:r>
            <a:rPr lang="th-TH" sz="4000" b="0" baseline="0">
              <a:solidFill>
                <a:schemeClr val="tx1"/>
              </a:solidFill>
              <a:effectLst/>
              <a:latin typeface="+mn-lt"/>
              <a:ea typeface="+mn-ea"/>
              <a:cs typeface="+mn-cs"/>
            </a:rPr>
            <a:t>และรอเข้าพบหัวหน้างาน หรือ ผู้ประเมินคนที่ </a:t>
          </a:r>
          <a:r>
            <a:rPr lang="en-US" sz="4000" b="0" baseline="0">
              <a:solidFill>
                <a:schemeClr val="tx1"/>
              </a:solidFill>
              <a:effectLst/>
              <a:latin typeface="+mn-lt"/>
              <a:ea typeface="+mn-ea"/>
              <a:cs typeface="+mn-cs"/>
            </a:rPr>
            <a:t>1 </a:t>
          </a:r>
          <a:r>
            <a:rPr lang="th-TH" sz="4000" b="0" baseline="0">
              <a:solidFill>
                <a:schemeClr val="tx1"/>
              </a:solidFill>
              <a:effectLst/>
              <a:latin typeface="+mn-lt"/>
              <a:ea typeface="+mn-ea"/>
              <a:cs typeface="+mn-cs"/>
            </a:rPr>
            <a:t>และผู้ประเมินคนที่ </a:t>
          </a:r>
          <a:r>
            <a:rPr lang="en-US" sz="4000" b="0" baseline="0">
              <a:solidFill>
                <a:schemeClr val="tx1"/>
              </a:solidFill>
              <a:effectLst/>
              <a:latin typeface="+mn-lt"/>
              <a:ea typeface="+mn-ea"/>
              <a:cs typeface="+mn-cs"/>
            </a:rPr>
            <a:t>2</a:t>
          </a:r>
          <a:r>
            <a:rPr lang="th-TH" sz="4000" b="0" baseline="0">
              <a:solidFill>
                <a:schemeClr val="tx1"/>
              </a:solidFill>
              <a:effectLst/>
              <a:latin typeface="+mn-lt"/>
              <a:ea typeface="+mn-ea"/>
              <a:cs typeface="+mn-cs"/>
            </a:rPr>
            <a:t> ตามที่นัดหมายเพื่อพูดคุย และถูกสัมภาษณ์เกี่ยวกับความคืบหน้า หรือ ผลสำเร็จ ณ ขณะนั้น ของ </a:t>
          </a:r>
          <a:r>
            <a:rPr lang="en-US" sz="4000" b="0" baseline="0">
              <a:solidFill>
                <a:schemeClr val="tx1"/>
              </a:solidFill>
              <a:effectLst/>
              <a:latin typeface="+mn-lt"/>
              <a:ea typeface="+mn-ea"/>
              <a:cs typeface="+mn-cs"/>
            </a:rPr>
            <a:t>MBO </a:t>
          </a:r>
          <a:r>
            <a:rPr lang="th-TH" sz="4000" b="0" baseline="0">
              <a:solidFill>
                <a:schemeClr val="tx1"/>
              </a:solidFill>
              <a:effectLst/>
              <a:latin typeface="+mn-lt"/>
              <a:ea typeface="+mn-ea"/>
              <a:cs typeface="+mn-cs"/>
            </a:rPr>
            <a:t>แต่ละข้อ</a:t>
          </a:r>
        </a:p>
        <a:p>
          <a:r>
            <a:rPr lang="th-TH" sz="4000" b="0" baseline="0">
              <a:solidFill>
                <a:schemeClr val="tx1"/>
              </a:solidFill>
              <a:effectLst/>
              <a:latin typeface="+mn-lt"/>
              <a:ea typeface="+mn-ea"/>
              <a:cs typeface="+mn-cs"/>
            </a:rPr>
            <a:t> </a:t>
          </a:r>
          <a:endParaRPr lang="en-US" sz="4000">
            <a:solidFill>
              <a:schemeClr val="tx1"/>
            </a:solidFill>
            <a:effectLst/>
            <a:cs typeface="+mn-cs"/>
          </a:endParaRPr>
        </a:p>
        <a:p>
          <a:r>
            <a:rPr lang="th-TH" sz="5400" b="0" baseline="0">
              <a:solidFill>
                <a:schemeClr val="tx1"/>
              </a:solidFill>
              <a:effectLst/>
              <a:latin typeface="+mn-lt"/>
              <a:ea typeface="+mn-ea"/>
              <a:cs typeface="+mn-cs"/>
              <a:sym typeface="Wingdings 2" panose="05020102010507070707" pitchFamily="18" charset="2"/>
            </a:rPr>
            <a:t></a:t>
          </a:r>
          <a:r>
            <a:rPr lang="th-TH" sz="4000" b="0" baseline="0">
              <a:solidFill>
                <a:schemeClr val="tx1"/>
              </a:solidFill>
              <a:effectLst/>
              <a:latin typeface="+mn-lt"/>
              <a:ea typeface="+mn-ea"/>
              <a:cs typeface="+mn-cs"/>
            </a:rPr>
            <a:t>ผู้ประเมินคนที่ </a:t>
          </a:r>
          <a:r>
            <a:rPr lang="en-US" sz="4000" b="0" baseline="0">
              <a:solidFill>
                <a:schemeClr val="tx1"/>
              </a:solidFill>
              <a:effectLst/>
              <a:latin typeface="+mn-lt"/>
              <a:ea typeface="+mn-ea"/>
              <a:cs typeface="+mn-cs"/>
            </a:rPr>
            <a:t>1 </a:t>
          </a:r>
          <a:r>
            <a:rPr lang="th-TH" sz="4000" b="0" baseline="0">
              <a:solidFill>
                <a:schemeClr val="tx1"/>
              </a:solidFill>
              <a:effectLst/>
              <a:latin typeface="+mn-lt"/>
              <a:ea typeface="+mn-ea"/>
              <a:cs typeface="+mn-cs"/>
            </a:rPr>
            <a:t>ให้คะแนนของตน (อิงเกณฑ์ที่กำหนดไว้ </a:t>
          </a:r>
          <a:r>
            <a:rPr lang="en-US" sz="4000" b="0" baseline="0">
              <a:solidFill>
                <a:schemeClr val="tx1"/>
              </a:solidFill>
              <a:effectLst/>
              <a:latin typeface="+mn-lt"/>
              <a:ea typeface="+mn-ea"/>
              <a:cs typeface="+mn-cs"/>
            </a:rPr>
            <a:t>[9], [13]</a:t>
          </a:r>
          <a:r>
            <a:rPr lang="th-TH" sz="4000" b="0" baseline="0">
              <a:solidFill>
                <a:schemeClr val="tx1"/>
              </a:solidFill>
              <a:effectLst/>
              <a:latin typeface="+mn-lt"/>
              <a:ea typeface="+mn-ea"/>
              <a:cs typeface="+mn-cs"/>
            </a:rPr>
            <a:t>) จากนั้นส่งต่อไปให้ผู้ประเมินคนที่ </a:t>
          </a:r>
          <a:r>
            <a:rPr lang="en-US" sz="4000" b="0" baseline="0">
              <a:solidFill>
                <a:schemeClr val="tx1"/>
              </a:solidFill>
              <a:effectLst/>
              <a:latin typeface="+mn-lt"/>
              <a:ea typeface="+mn-ea"/>
              <a:cs typeface="+mn-cs"/>
            </a:rPr>
            <a:t>2</a:t>
          </a:r>
          <a:r>
            <a:rPr lang="th-TH" sz="4000" b="0" baseline="0">
              <a:solidFill>
                <a:schemeClr val="tx1"/>
              </a:solidFill>
              <a:effectLst/>
              <a:latin typeface="+mn-lt"/>
              <a:ea typeface="+mn-ea"/>
              <a:cs typeface="+mn-cs"/>
            </a:rPr>
            <a:t> เพื่อให้คะแนน (อิงเกณฑ์ที่กำหนดไว้</a:t>
          </a:r>
          <a:r>
            <a:rPr lang="en-US" sz="4000" b="0" baseline="0">
              <a:solidFill>
                <a:schemeClr val="tx1"/>
              </a:solidFill>
              <a:effectLst/>
              <a:latin typeface="+mn-lt"/>
              <a:ea typeface="+mn-ea"/>
              <a:cs typeface="+mn-cs"/>
            </a:rPr>
            <a:t> [9], [13] )</a:t>
          </a:r>
          <a:r>
            <a:rPr lang="th-TH" sz="4000" b="0" baseline="0">
              <a:solidFill>
                <a:schemeClr val="tx1"/>
              </a:solidFill>
              <a:effectLst/>
              <a:latin typeface="+mn-lt"/>
              <a:ea typeface="+mn-ea"/>
              <a:cs typeface="+mn-cs"/>
            </a:rPr>
            <a:t> คะแนนของผู้ประเมินคนที่ </a:t>
          </a:r>
          <a:r>
            <a:rPr lang="en-US" sz="4000" b="0" baseline="0">
              <a:solidFill>
                <a:schemeClr val="tx1"/>
              </a:solidFill>
              <a:effectLst/>
              <a:latin typeface="+mn-lt"/>
              <a:ea typeface="+mn-ea"/>
              <a:cs typeface="+mn-cs"/>
            </a:rPr>
            <a:t>1 </a:t>
          </a:r>
          <a:r>
            <a:rPr lang="th-TH" sz="4000" b="0" baseline="0">
              <a:solidFill>
                <a:schemeClr val="tx1"/>
              </a:solidFill>
              <a:effectLst/>
              <a:latin typeface="+mn-lt"/>
              <a:ea typeface="+mn-ea"/>
              <a:cs typeface="+mn-cs"/>
            </a:rPr>
            <a:t>และ </a:t>
          </a:r>
          <a:r>
            <a:rPr lang="en-US" sz="4000" b="0" baseline="0">
              <a:solidFill>
                <a:schemeClr val="tx1"/>
              </a:solidFill>
              <a:effectLst/>
              <a:latin typeface="+mn-lt"/>
              <a:ea typeface="+mn-ea"/>
              <a:cs typeface="+mn-cs"/>
            </a:rPr>
            <a:t>2 </a:t>
          </a:r>
          <a:r>
            <a:rPr lang="th-TH" sz="4000" b="0" baseline="0">
              <a:solidFill>
                <a:schemeClr val="tx1"/>
              </a:solidFill>
              <a:effectLst/>
              <a:latin typeface="+mn-lt"/>
              <a:ea typeface="+mn-ea"/>
              <a:cs typeface="+mn-cs"/>
            </a:rPr>
            <a:t>ควรเป็นตัวเลขเดียวกัน (กรณีแตกต่าง ต้องพูดคุยกันเพื่อหาข้อสรุปตามหลักฐานที่พนักงานซึ่งเป็นผู้ถูกประเมินได้แนบมา) อย่างไรก็</a:t>
          </a:r>
          <a:r>
            <a:rPr lang="th-TH" sz="4000" b="0" baseline="0">
              <a:solidFill>
                <a:srgbClr val="FF0000"/>
              </a:solidFill>
              <a:effectLst/>
              <a:latin typeface="+mn-lt"/>
              <a:ea typeface="+mn-ea"/>
              <a:cs typeface="+mn-cs"/>
            </a:rPr>
            <a:t>ตาม </a:t>
          </a:r>
          <a:r>
            <a:rPr lang="th-TH" sz="4000" b="1" u="sng" baseline="0">
              <a:solidFill>
                <a:srgbClr val="FF0000"/>
              </a:solidFill>
              <a:effectLst/>
              <a:latin typeface="+mn-lt"/>
              <a:ea typeface="+mn-ea"/>
              <a:cs typeface="+mn-cs"/>
            </a:rPr>
            <a:t>คะแนนของผู้ประเมินคนที่ </a:t>
          </a:r>
          <a:r>
            <a:rPr lang="en-US" sz="4000" b="1" u="sng" baseline="0">
              <a:solidFill>
                <a:srgbClr val="FF0000"/>
              </a:solidFill>
              <a:effectLst/>
              <a:latin typeface="+mn-lt"/>
              <a:ea typeface="+mn-ea"/>
              <a:cs typeface="+mn-cs"/>
            </a:rPr>
            <a:t>2</a:t>
          </a:r>
          <a:r>
            <a:rPr lang="th-TH" sz="4000" b="1" u="sng" baseline="0">
              <a:solidFill>
                <a:srgbClr val="FF0000"/>
              </a:solidFill>
              <a:effectLst/>
              <a:latin typeface="+mn-lt"/>
              <a:ea typeface="+mn-ea"/>
              <a:cs typeface="+mn-cs"/>
            </a:rPr>
            <a:t> ถือเป็นที่สิ้นสุดในระดับ </a:t>
          </a:r>
          <a:r>
            <a:rPr lang="en-US" sz="4000" b="1" u="sng" baseline="0">
              <a:solidFill>
                <a:srgbClr val="FF0000"/>
              </a:solidFill>
              <a:effectLst/>
              <a:latin typeface="+mn-lt"/>
              <a:ea typeface="+mn-ea"/>
              <a:cs typeface="+mn-cs"/>
            </a:rPr>
            <a:t>Division </a:t>
          </a:r>
          <a:r>
            <a:rPr lang="th-TH" sz="4000" b="1" u="sng" baseline="0">
              <a:solidFill>
                <a:srgbClr val="FF0000"/>
              </a:solidFill>
              <a:effectLst/>
              <a:latin typeface="+mn-lt"/>
              <a:ea typeface="+mn-ea"/>
              <a:cs typeface="+mn-cs"/>
            </a:rPr>
            <a:t>ที่จะนำส่งให้ </a:t>
          </a:r>
          <a:r>
            <a:rPr lang="en-US" sz="4000" b="1" u="sng" baseline="0">
              <a:solidFill>
                <a:srgbClr val="FF0000"/>
              </a:solidFill>
              <a:effectLst/>
              <a:latin typeface="+mn-lt"/>
              <a:ea typeface="+mn-ea"/>
              <a:cs typeface="+mn-cs"/>
            </a:rPr>
            <a:t>HR </a:t>
          </a:r>
          <a:r>
            <a:rPr lang="th-TH" sz="4000" b="1" u="sng" baseline="0">
              <a:solidFill>
                <a:srgbClr val="FF0000"/>
              </a:solidFill>
              <a:effectLst/>
              <a:latin typeface="+mn-lt"/>
              <a:ea typeface="+mn-ea"/>
              <a:cs typeface="+mn-cs"/>
            </a:rPr>
            <a:t>และ คณะกรรมการประเมินผลการปฏิบัติงานได้นำไปอิงเกณฑ์ต่อไป</a:t>
          </a:r>
          <a:endParaRPr lang="en-US" sz="4000">
            <a:solidFill>
              <a:srgbClr val="FF0000"/>
            </a:solidFill>
            <a:effectLst/>
            <a:cs typeface="+mn-cs"/>
          </a:endParaRPr>
        </a:p>
        <a:p>
          <a:endParaRPr lang="en-US" sz="4000">
            <a:solidFill>
              <a:schemeClr val="tx1"/>
            </a:solidFill>
            <a:effectLst/>
            <a:cs typeface="+mn-cs"/>
          </a:endParaRPr>
        </a:p>
      </xdr:txBody>
    </xdr:sp>
    <xdr:clientData/>
  </xdr:twoCellAnchor>
  <xdr:twoCellAnchor>
    <xdr:from>
      <xdr:col>13</xdr:col>
      <xdr:colOff>1034136</xdr:colOff>
      <xdr:row>34</xdr:row>
      <xdr:rowOff>207777</xdr:rowOff>
    </xdr:from>
    <xdr:to>
      <xdr:col>14</xdr:col>
      <xdr:colOff>878915</xdr:colOff>
      <xdr:row>38</xdr:row>
      <xdr:rowOff>5372</xdr:rowOff>
    </xdr:to>
    <xdr:sp macro="" textlink="">
      <xdr:nvSpPr>
        <xdr:cNvPr id="92" name="TextBox 91">
          <a:extLst>
            <a:ext uri="{FF2B5EF4-FFF2-40B4-BE49-F238E27FC236}">
              <a16:creationId xmlns:a16="http://schemas.microsoft.com/office/drawing/2014/main" id="{BFFE3494-97B8-4574-8F15-500248BCB450}"/>
            </a:ext>
          </a:extLst>
        </xdr:cNvPr>
        <xdr:cNvSpPr txBox="1"/>
      </xdr:nvSpPr>
      <xdr:spPr>
        <a:xfrm flipH="1">
          <a:off x="18236863" y="20181413"/>
          <a:ext cx="1230234" cy="952141"/>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1.1</a:t>
          </a:r>
        </a:p>
      </xdr:txBody>
    </xdr:sp>
    <xdr:clientData/>
  </xdr:twoCellAnchor>
  <xdr:twoCellAnchor>
    <xdr:from>
      <xdr:col>33</xdr:col>
      <xdr:colOff>1044021</xdr:colOff>
      <xdr:row>33</xdr:row>
      <xdr:rowOff>191456</xdr:rowOff>
    </xdr:from>
    <xdr:to>
      <xdr:col>34</xdr:col>
      <xdr:colOff>867900</xdr:colOff>
      <xdr:row>36</xdr:row>
      <xdr:rowOff>281669</xdr:rowOff>
    </xdr:to>
    <xdr:sp macro="" textlink="">
      <xdr:nvSpPr>
        <xdr:cNvPr id="93" name="TextBox 92">
          <a:extLst>
            <a:ext uri="{FF2B5EF4-FFF2-40B4-BE49-F238E27FC236}">
              <a16:creationId xmlns:a16="http://schemas.microsoft.com/office/drawing/2014/main" id="{4F7FE34F-E2AB-4854-B9E0-E8CCCDC74085}"/>
            </a:ext>
          </a:extLst>
        </xdr:cNvPr>
        <xdr:cNvSpPr txBox="1"/>
      </xdr:nvSpPr>
      <xdr:spPr>
        <a:xfrm flipH="1">
          <a:off x="44656976" y="19876456"/>
          <a:ext cx="1209333" cy="956122"/>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2.1</a:t>
          </a:r>
        </a:p>
      </xdr:txBody>
    </xdr:sp>
    <xdr:clientData/>
  </xdr:twoCellAnchor>
  <xdr:twoCellAnchor>
    <xdr:from>
      <xdr:col>0</xdr:col>
      <xdr:colOff>331200</xdr:colOff>
      <xdr:row>152</xdr:row>
      <xdr:rowOff>210873</xdr:rowOff>
    </xdr:from>
    <xdr:to>
      <xdr:col>46</xdr:col>
      <xdr:colOff>0</xdr:colOff>
      <xdr:row>169</xdr:row>
      <xdr:rowOff>1</xdr:rowOff>
    </xdr:to>
    <xdr:sp macro="" textlink="">
      <xdr:nvSpPr>
        <xdr:cNvPr id="90" name="Rectangle 89">
          <a:extLst>
            <a:ext uri="{FF2B5EF4-FFF2-40B4-BE49-F238E27FC236}">
              <a16:creationId xmlns:a16="http://schemas.microsoft.com/office/drawing/2014/main" id="{BFD43C7B-C529-4878-87FE-86750995BEEE}"/>
            </a:ext>
          </a:extLst>
        </xdr:cNvPr>
        <xdr:cNvSpPr/>
      </xdr:nvSpPr>
      <xdr:spPr>
        <a:xfrm>
          <a:off x="331200" y="61097604"/>
          <a:ext cx="58406300" cy="6017012"/>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5400" b="0" baseline="0">
              <a:solidFill>
                <a:schemeClr val="tx1"/>
              </a:solidFill>
              <a:latin typeface="+mn-lt"/>
              <a:ea typeface="+mn-ea"/>
              <a:cs typeface="+mn-cs"/>
              <a:sym typeface="Wingdings 2" panose="05020102010507070707" pitchFamily="18" charset="2"/>
            </a:rPr>
            <a:t></a:t>
          </a:r>
          <a:r>
            <a:rPr lang="en-US" sz="4000" b="0" baseline="0">
              <a:solidFill>
                <a:schemeClr val="tx1"/>
              </a:solidFill>
              <a:latin typeface="+mn-lt"/>
              <a:ea typeface="+mn-ea"/>
              <a:cs typeface="+mn-cs"/>
            </a:rPr>
            <a:t>MBO </a:t>
          </a:r>
          <a:r>
            <a:rPr lang="th-TH" sz="4000" b="0" baseline="0">
              <a:solidFill>
                <a:schemeClr val="tx1"/>
              </a:solidFill>
              <a:latin typeface="+mn-lt"/>
              <a:ea typeface="+mn-ea"/>
              <a:cs typeface="+mn-cs"/>
            </a:rPr>
            <a:t>ที่ใช้วัดในแต่ละรอบ (รอบกลางปี, รอบปลายปี) </a:t>
          </a:r>
          <a:r>
            <a:rPr lang="th-TH" sz="4000" b="1" baseline="0">
              <a:solidFill>
                <a:srgbClr val="FF0000"/>
              </a:solidFill>
              <a:latin typeface="+mn-lt"/>
              <a:ea typeface="+mn-ea"/>
              <a:cs typeface="+mn-cs"/>
            </a:rPr>
            <a:t>ต้องมีไม่ต่ำกว่า </a:t>
          </a:r>
          <a:r>
            <a:rPr lang="en-US" sz="4000" b="1" baseline="0">
              <a:solidFill>
                <a:srgbClr val="FF0000"/>
              </a:solidFill>
              <a:latin typeface="+mn-lt"/>
              <a:ea typeface="+mn-ea"/>
              <a:cs typeface="+mn-cs"/>
            </a:rPr>
            <a:t>5 </a:t>
          </a:r>
          <a:r>
            <a:rPr lang="th-TH" sz="4000" b="1" baseline="0">
              <a:solidFill>
                <a:srgbClr val="FF0000"/>
              </a:solidFill>
              <a:latin typeface="+mn-lt"/>
              <a:ea typeface="+mn-ea"/>
              <a:cs typeface="+mn-cs"/>
            </a:rPr>
            <a:t>หัวข้อ และไม่เกิน </a:t>
          </a:r>
          <a:r>
            <a:rPr lang="en-US" sz="4000" b="1" baseline="0">
              <a:solidFill>
                <a:srgbClr val="FF0000"/>
              </a:solidFill>
              <a:latin typeface="+mn-lt"/>
              <a:ea typeface="+mn-ea"/>
              <a:cs typeface="+mn-cs"/>
            </a:rPr>
            <a:t>7 </a:t>
          </a:r>
          <a:r>
            <a:rPr lang="th-TH" sz="4000" b="1" baseline="0">
              <a:solidFill>
                <a:srgbClr val="FF0000"/>
              </a:solidFill>
              <a:latin typeface="+mn-lt"/>
              <a:ea typeface="+mn-ea"/>
              <a:cs typeface="+mn-cs"/>
            </a:rPr>
            <a:t>ข้อ</a:t>
          </a:r>
        </a:p>
        <a:p>
          <a:pPr algn="l"/>
          <a:endParaRPr lang="th-TH" sz="4000" b="0" baseline="0">
            <a:solidFill>
              <a:schemeClr val="tx1"/>
            </a:solidFill>
            <a:latin typeface="+mn-lt"/>
            <a:ea typeface="+mn-ea"/>
            <a:cs typeface="+mn-cs"/>
          </a:endParaRPr>
        </a:p>
        <a:p>
          <a:pPr algn="l"/>
          <a:r>
            <a:rPr lang="en-US" sz="5400" b="0" baseline="0">
              <a:solidFill>
                <a:schemeClr val="tx1"/>
              </a:solidFill>
              <a:latin typeface="+mn-lt"/>
              <a:ea typeface="+mn-ea"/>
              <a:cs typeface="+mn-cs"/>
              <a:sym typeface="Wingdings 2" panose="05020102010507070707" pitchFamily="18" charset="2"/>
            </a:rPr>
            <a:t></a:t>
          </a:r>
          <a:r>
            <a:rPr lang="en-US" sz="4000" b="0" baseline="0">
              <a:solidFill>
                <a:schemeClr val="tx1"/>
              </a:solidFill>
              <a:latin typeface="+mn-lt"/>
              <a:ea typeface="+mn-ea"/>
              <a:cs typeface="+mn-cs"/>
            </a:rPr>
            <a:t>MBO </a:t>
          </a:r>
          <a:r>
            <a:rPr lang="th-TH" sz="4000" b="0" baseline="0">
              <a:solidFill>
                <a:schemeClr val="tx1"/>
              </a:solidFill>
              <a:latin typeface="+mn-lt"/>
              <a:ea typeface="+mn-ea"/>
              <a:cs typeface="+mn-cs"/>
            </a:rPr>
            <a:t>แต่ละข้อ</a:t>
          </a:r>
          <a:r>
            <a:rPr lang="th-TH" sz="4000" b="1" u="sng" baseline="0">
              <a:solidFill>
                <a:srgbClr val="FF0000"/>
              </a:solidFill>
              <a:latin typeface="+mn-lt"/>
              <a:ea typeface="+mn-ea"/>
              <a:cs typeface="+mn-cs"/>
            </a:rPr>
            <a:t>สามารถใช้ประเมินทั้งปี (ครึ่งปีแรก และ ครึ่งปีหลังร่วมด้วย) </a:t>
          </a:r>
          <a:r>
            <a:rPr lang="en-US" sz="4000" b="1" u="sng" baseline="0">
              <a:solidFill>
                <a:srgbClr val="FF0000"/>
              </a:solidFill>
              <a:latin typeface="+mn-lt"/>
              <a:ea typeface="+mn-ea"/>
              <a:cs typeface="+mn-cs"/>
            </a:rPr>
            <a:t>"</a:t>
          </a:r>
          <a:r>
            <a:rPr lang="th-TH" sz="4000" b="1" u="sng" baseline="0">
              <a:solidFill>
                <a:srgbClr val="FF0000"/>
              </a:solidFill>
              <a:latin typeface="+mn-lt"/>
              <a:ea typeface="+mn-ea"/>
              <a:cs typeface="+mn-cs"/>
            </a:rPr>
            <a:t>ได้</a:t>
          </a:r>
          <a:r>
            <a:rPr lang="en-US" sz="4000" b="1" u="sng" baseline="0">
              <a:solidFill>
                <a:srgbClr val="FF0000"/>
              </a:solidFill>
              <a:latin typeface="+mn-lt"/>
              <a:ea typeface="+mn-ea"/>
              <a:cs typeface="+mn-cs"/>
            </a:rPr>
            <a:t>"</a:t>
          </a:r>
          <a:r>
            <a:rPr lang="th-TH" sz="4000" b="0" baseline="0">
              <a:solidFill>
                <a:schemeClr val="tx1"/>
              </a:solidFill>
              <a:latin typeface="+mn-lt"/>
              <a:ea typeface="+mn-ea"/>
              <a:cs typeface="+mn-cs"/>
            </a:rPr>
            <a:t> ถ้าสมเหตุผลเรื่องกำหนดระยะเวลา กับ กิจกรรมที่ต้องทำในรอบหนึ่งปีการประเมินผล (ม.ค. - ธ.ค.) หรือเป็น </a:t>
          </a:r>
          <a:r>
            <a:rPr lang="en-US" sz="4000" b="0" baseline="0">
              <a:solidFill>
                <a:schemeClr val="tx1"/>
              </a:solidFill>
              <a:latin typeface="+mn-lt"/>
              <a:ea typeface="+mn-ea"/>
              <a:cs typeface="+mn-cs"/>
            </a:rPr>
            <a:t>MBO </a:t>
          </a:r>
          <a:r>
            <a:rPr lang="th-TH" sz="4000" b="0" baseline="0">
              <a:solidFill>
                <a:schemeClr val="tx1"/>
              </a:solidFill>
              <a:latin typeface="+mn-lt"/>
              <a:ea typeface="+mn-ea"/>
              <a:cs typeface="+mn-cs"/>
            </a:rPr>
            <a:t>ที่ติดตามผลเป็นรายเดือน รายสามเดือน รายหกเดือน หรืออื่นๆ ตลอดระยะเวลาหนึ่งปี</a:t>
          </a:r>
        </a:p>
        <a:p>
          <a:pPr algn="l"/>
          <a:endParaRPr lang="th-TH" sz="4000" b="0" baseline="0">
            <a:solidFill>
              <a:schemeClr val="tx1"/>
            </a:solidFill>
            <a:latin typeface="+mn-lt"/>
            <a:ea typeface="+mn-ea"/>
            <a:cs typeface="+mn-cs"/>
          </a:endParaRPr>
        </a:p>
        <a:p>
          <a:pPr algn="l"/>
          <a:r>
            <a:rPr lang="en-US" sz="5400" b="0" baseline="0">
              <a:solidFill>
                <a:schemeClr val="tx1"/>
              </a:solidFill>
              <a:latin typeface="+mn-lt"/>
              <a:ea typeface="+mn-ea"/>
              <a:cs typeface="+mn-cs"/>
              <a:sym typeface="Wingdings 2" panose="05020102010507070707" pitchFamily="18" charset="2"/>
            </a:rPr>
            <a:t></a:t>
          </a:r>
          <a:r>
            <a:rPr lang="th-TH" sz="4000" b="0" baseline="0">
              <a:solidFill>
                <a:schemeClr val="tx1"/>
              </a:solidFill>
              <a:latin typeface="+mn-lt"/>
              <a:ea typeface="+mn-ea"/>
              <a:cs typeface="+mn-cs"/>
            </a:rPr>
            <a:t>กรณี</a:t>
          </a:r>
          <a:r>
            <a:rPr lang="th-TH" sz="4000" b="1" u="sng" baseline="0">
              <a:solidFill>
                <a:srgbClr val="FF0000"/>
              </a:solidFill>
              <a:latin typeface="+mn-lt"/>
              <a:ea typeface="+mn-ea"/>
              <a:cs typeface="+mn-cs"/>
            </a:rPr>
            <a:t>ทำเสร็จภายในครึ่งปีแรก </a:t>
          </a:r>
          <a:r>
            <a:rPr lang="th-TH" sz="4000" b="0" baseline="0">
              <a:solidFill>
                <a:schemeClr val="tx1"/>
              </a:solidFill>
              <a:latin typeface="+mn-lt"/>
              <a:ea typeface="+mn-ea"/>
              <a:cs typeface="+mn-cs"/>
            </a:rPr>
            <a:t>และเหลือหัวข้อ </a:t>
          </a:r>
          <a:r>
            <a:rPr lang="en-US" sz="4000" b="0" baseline="0">
              <a:solidFill>
                <a:schemeClr val="tx1"/>
              </a:solidFill>
              <a:latin typeface="+mn-lt"/>
              <a:ea typeface="+mn-ea"/>
              <a:cs typeface="+mn-cs"/>
            </a:rPr>
            <a:t>MBO </a:t>
          </a:r>
          <a:r>
            <a:rPr lang="th-TH" sz="4000" b="0" baseline="0">
              <a:solidFill>
                <a:schemeClr val="tx1"/>
              </a:solidFill>
              <a:latin typeface="+mn-lt"/>
              <a:ea typeface="+mn-ea"/>
              <a:cs typeface="+mn-cs"/>
            </a:rPr>
            <a:t>ไม่ครบ </a:t>
          </a:r>
          <a:r>
            <a:rPr lang="en-US" sz="4000" b="0" baseline="0">
              <a:solidFill>
                <a:schemeClr val="tx1"/>
              </a:solidFill>
              <a:latin typeface="+mn-lt"/>
              <a:ea typeface="+mn-ea"/>
              <a:cs typeface="+mn-cs"/>
            </a:rPr>
            <a:t>5 </a:t>
          </a:r>
          <a:r>
            <a:rPr lang="th-TH" sz="4000" b="0" baseline="0">
              <a:solidFill>
                <a:schemeClr val="tx1"/>
              </a:solidFill>
              <a:latin typeface="+mn-lt"/>
              <a:ea typeface="+mn-ea"/>
              <a:cs typeface="+mn-cs"/>
            </a:rPr>
            <a:t>หัวข้อ ต่อหนึ่งรอบการ</a:t>
          </a:r>
          <a:r>
            <a:rPr lang="th-TH" sz="4000" b="1" u="sng" baseline="0">
              <a:solidFill>
                <a:srgbClr val="FF0000"/>
              </a:solidFill>
              <a:latin typeface="+mn-lt"/>
              <a:ea typeface="+mn-ea"/>
              <a:cs typeface="+mn-cs"/>
            </a:rPr>
            <a:t>ประเมิน จะต้องกำหนดหัวข้อ </a:t>
          </a:r>
          <a:r>
            <a:rPr lang="en-US" sz="4000" b="1" u="sng" baseline="0">
              <a:solidFill>
                <a:srgbClr val="FF0000"/>
              </a:solidFill>
              <a:latin typeface="+mn-lt"/>
              <a:ea typeface="+mn-ea"/>
              <a:cs typeface="+mn-cs"/>
            </a:rPr>
            <a:t>MBO </a:t>
          </a:r>
          <a:r>
            <a:rPr lang="th-TH" sz="4000" b="1" u="sng" baseline="0">
              <a:solidFill>
                <a:srgbClr val="FF0000"/>
              </a:solidFill>
              <a:latin typeface="+mn-lt"/>
              <a:ea typeface="+mn-ea"/>
              <a:cs typeface="+mn-cs"/>
            </a:rPr>
            <a:t>เพิ่มเติม </a:t>
          </a:r>
          <a:r>
            <a:rPr lang="th-TH" sz="4000" b="0" baseline="0">
              <a:solidFill>
                <a:schemeClr val="tx1"/>
              </a:solidFill>
              <a:latin typeface="+mn-lt"/>
              <a:ea typeface="+mn-ea"/>
              <a:cs typeface="+mn-cs"/>
            </a:rPr>
            <a:t>(เขียนหัวข้อ </a:t>
          </a:r>
          <a:r>
            <a:rPr lang="en-US" sz="4000" b="0" baseline="0">
              <a:solidFill>
                <a:schemeClr val="tx1"/>
              </a:solidFill>
              <a:latin typeface="+mn-lt"/>
              <a:ea typeface="+mn-ea"/>
              <a:cs typeface="+mn-cs"/>
            </a:rPr>
            <a:t>MBO </a:t>
          </a:r>
          <a:r>
            <a:rPr lang="th-TH" sz="4000" b="0" baseline="0">
              <a:solidFill>
                <a:schemeClr val="tx1"/>
              </a:solidFill>
              <a:latin typeface="+mn-lt"/>
              <a:ea typeface="+mn-ea"/>
              <a:cs typeface="+mn-cs"/>
            </a:rPr>
            <a:t>ด้านหน้า และเขียน แผนปฏิบัติงาน, วันที่เริ่มต้น-สิ้นสุด, ตัวชี้วัดความสำเร็จ, และตัวถ่วงน้ำหนัก)</a:t>
          </a:r>
        </a:p>
        <a:p>
          <a:pPr algn="l"/>
          <a:endParaRPr lang="en-US" sz="4000" b="1" baseline="0">
            <a:solidFill>
              <a:schemeClr val="tx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46</xdr:col>
      <xdr:colOff>36286</xdr:colOff>
      <xdr:row>0</xdr:row>
      <xdr:rowOff>145143</xdr:rowOff>
    </xdr:from>
    <xdr:to>
      <xdr:col>47</xdr:col>
      <xdr:colOff>1056318</xdr:colOff>
      <xdr:row>1</xdr:row>
      <xdr:rowOff>280710</xdr:rowOff>
    </xdr:to>
    <xdr:sp macro="" textlink="">
      <xdr:nvSpPr>
        <xdr:cNvPr id="4" name="Rectangle 3">
          <a:extLst>
            <a:ext uri="{FF2B5EF4-FFF2-40B4-BE49-F238E27FC236}">
              <a16:creationId xmlns:a16="http://schemas.microsoft.com/office/drawing/2014/main" id="{096CED35-3E6E-40DE-96C6-5FA40AABE600}"/>
            </a:ext>
          </a:extLst>
        </xdr:cNvPr>
        <xdr:cNvSpPr/>
      </xdr:nvSpPr>
      <xdr:spPr>
        <a:xfrm>
          <a:off x="43053000" y="145143"/>
          <a:ext cx="2144889" cy="589138"/>
        </a:xfrm>
        <a:prstGeom prst="rect">
          <a:avLst/>
        </a:prstGeom>
        <a:no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56870</xdr:colOff>
      <xdr:row>13</xdr:row>
      <xdr:rowOff>72572</xdr:rowOff>
    </xdr:from>
    <xdr:to>
      <xdr:col>3</xdr:col>
      <xdr:colOff>589370</xdr:colOff>
      <xdr:row>18</xdr:row>
      <xdr:rowOff>641088</xdr:rowOff>
    </xdr:to>
    <xdr:sp macro="" textlink="">
      <xdr:nvSpPr>
        <xdr:cNvPr id="15" name="Left Brace 14">
          <a:extLst>
            <a:ext uri="{FF2B5EF4-FFF2-40B4-BE49-F238E27FC236}">
              <a16:creationId xmlns:a16="http://schemas.microsoft.com/office/drawing/2014/main" id="{7C44D7F7-636D-4FBE-B8C2-8A5B70342591}"/>
            </a:ext>
          </a:extLst>
        </xdr:cNvPr>
        <xdr:cNvSpPr/>
      </xdr:nvSpPr>
      <xdr:spPr>
        <a:xfrm flipH="1">
          <a:off x="2488013" y="4807858"/>
          <a:ext cx="1584786" cy="4378516"/>
        </a:xfrm>
        <a:prstGeom prst="leftBrace">
          <a:avLst>
            <a:gd name="adj1" fmla="val 59896"/>
            <a:gd name="adj2" fmla="val 49573"/>
          </a:avLst>
        </a:prstGeom>
        <a:ln w="76200">
          <a:solidFill>
            <a:srgbClr val="C0000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46</xdr:col>
      <xdr:colOff>451554</xdr:colOff>
      <xdr:row>9</xdr:row>
      <xdr:rowOff>307421</xdr:rowOff>
    </xdr:from>
    <xdr:to>
      <xdr:col>70</xdr:col>
      <xdr:colOff>342697</xdr:colOff>
      <xdr:row>23</xdr:row>
      <xdr:rowOff>73269</xdr:rowOff>
    </xdr:to>
    <xdr:sp macro="" textlink="">
      <xdr:nvSpPr>
        <xdr:cNvPr id="16" name="Rectangle 15">
          <a:extLst>
            <a:ext uri="{FF2B5EF4-FFF2-40B4-BE49-F238E27FC236}">
              <a16:creationId xmlns:a16="http://schemas.microsoft.com/office/drawing/2014/main" id="{C8E70992-3D0F-4DBC-AF0F-F589B5A3A6D7}"/>
            </a:ext>
          </a:extLst>
        </xdr:cNvPr>
        <xdr:cNvSpPr/>
      </xdr:nvSpPr>
      <xdr:spPr>
        <a:xfrm>
          <a:off x="43118669" y="3751075"/>
          <a:ext cx="12933066" cy="7166040"/>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aseline="0">
              <a:solidFill>
                <a:schemeClr val="tx1"/>
              </a:solidFill>
              <a:latin typeface="+mn-lt"/>
              <a:ea typeface="+mn-ea"/>
              <a:cs typeface="+mn-cs"/>
            </a:rPr>
            <a:t>              </a:t>
          </a:r>
          <a:r>
            <a:rPr lang="th-TH" sz="3600" baseline="0">
              <a:solidFill>
                <a:schemeClr val="tx1"/>
              </a:solidFill>
              <a:latin typeface="+mn-lt"/>
              <a:ea typeface="+mn-ea"/>
              <a:cs typeface="+mn-cs"/>
            </a:rPr>
            <a:t>ลงลายมื่อชื่อร่วมกันระหว่างพนักงาน และผู้ประเมินคนที่ </a:t>
          </a:r>
          <a:r>
            <a:rPr lang="en-US" sz="3600" baseline="0">
              <a:solidFill>
                <a:schemeClr val="tx1"/>
              </a:solidFill>
              <a:latin typeface="+mn-lt"/>
              <a:ea typeface="+mn-ea"/>
              <a:cs typeface="+mn-cs"/>
            </a:rPr>
            <a:t>1</a:t>
          </a:r>
          <a:r>
            <a:rPr lang="th-TH" sz="3600" baseline="0">
              <a:solidFill>
                <a:schemeClr val="tx1"/>
              </a:solidFill>
              <a:latin typeface="+mn-lt"/>
              <a:ea typeface="+mn-ea"/>
              <a:cs typeface="+mn-cs"/>
            </a:rPr>
            <a:t> และผู้ประเมินคนที่ </a:t>
          </a:r>
          <a:r>
            <a:rPr lang="en-US" sz="3600" baseline="0">
              <a:solidFill>
                <a:schemeClr val="tx1"/>
              </a:solidFill>
              <a:latin typeface="+mn-lt"/>
              <a:ea typeface="+mn-ea"/>
              <a:cs typeface="+mn-cs"/>
            </a:rPr>
            <a:t>2 </a:t>
          </a:r>
          <a:r>
            <a:rPr lang="th-TH" sz="3600" b="1" u="sng" baseline="0">
              <a:solidFill>
                <a:srgbClr val="FF0000"/>
              </a:solidFill>
              <a:latin typeface="+mn-lt"/>
              <a:ea typeface="+mn-ea"/>
              <a:cs typeface="+mn-cs"/>
            </a:rPr>
            <a:t>เพื่อรับทราบผลการประเมินช่วงกลางปี</a:t>
          </a:r>
          <a:r>
            <a:rPr lang="th-TH" sz="3600" baseline="0">
              <a:solidFill>
                <a:schemeClr val="tx1"/>
              </a:solidFill>
              <a:latin typeface="+mn-lt"/>
              <a:ea typeface="+mn-ea"/>
              <a:cs typeface="+mn-cs"/>
            </a:rPr>
            <a:t> </a:t>
          </a:r>
          <a:r>
            <a:rPr lang="th-TH" sz="3600" baseline="0">
              <a:solidFill>
                <a:srgbClr val="0070C0"/>
              </a:solidFill>
              <a:latin typeface="+mn-lt"/>
              <a:ea typeface="+mn-ea"/>
              <a:cs typeface="+mn-cs"/>
            </a:rPr>
            <a:t>ไม่ว่าจะเห็นด้วยหรือไม่ก็ตาม เป็นการยืนยันว่า ได้มีการพูดคุยชี้แจงแล้ว</a:t>
          </a:r>
        </a:p>
        <a:p>
          <a:pPr algn="l"/>
          <a:endParaRPr lang="th-TH" sz="3600" b="1" u="sng" baseline="0">
            <a:solidFill>
              <a:schemeClr val="tx1"/>
            </a:solidFill>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3600" baseline="0">
              <a:solidFill>
                <a:schemeClr val="tx1"/>
              </a:solidFill>
              <a:latin typeface="+mn-lt"/>
              <a:ea typeface="+mn-ea"/>
              <a:cs typeface="+mn-cs"/>
            </a:rPr>
            <a:t>              </a:t>
          </a:r>
          <a:r>
            <a:rPr lang="th-TH" sz="3600" baseline="0">
              <a:solidFill>
                <a:schemeClr val="tx1"/>
              </a:solidFill>
              <a:effectLst/>
              <a:latin typeface="+mn-lt"/>
              <a:ea typeface="+mn-ea"/>
              <a:cs typeface="+mn-cs"/>
            </a:rPr>
            <a:t>ลงลายมื่อชื่อร่วมกันระหว่างพนักงาน และผู้ประเมินคนที่ </a:t>
          </a:r>
          <a:r>
            <a:rPr lang="en-US" sz="3600" baseline="0">
              <a:solidFill>
                <a:schemeClr val="tx1"/>
              </a:solidFill>
              <a:effectLst/>
              <a:latin typeface="+mn-lt"/>
              <a:ea typeface="+mn-ea"/>
              <a:cs typeface="+mn-cs"/>
            </a:rPr>
            <a:t>1</a:t>
          </a:r>
          <a:r>
            <a:rPr lang="th-TH" sz="3600" baseline="0">
              <a:solidFill>
                <a:schemeClr val="tx1"/>
              </a:solidFill>
              <a:effectLst/>
              <a:latin typeface="+mn-lt"/>
              <a:ea typeface="+mn-ea"/>
              <a:cs typeface="+mn-cs"/>
            </a:rPr>
            <a:t> และผู้ประเมินคนที่ </a:t>
          </a:r>
          <a:r>
            <a:rPr lang="en-US" sz="3600" b="1" u="sng" baseline="0">
              <a:solidFill>
                <a:srgbClr val="FF0000"/>
              </a:solidFill>
              <a:effectLst/>
              <a:latin typeface="+mn-lt"/>
              <a:ea typeface="+mn-ea"/>
              <a:cs typeface="+mn-cs"/>
            </a:rPr>
            <a:t>2 </a:t>
          </a:r>
          <a:r>
            <a:rPr lang="th-TH" sz="3600" b="1" u="sng" baseline="0">
              <a:solidFill>
                <a:srgbClr val="FF0000"/>
              </a:solidFill>
              <a:effectLst/>
              <a:latin typeface="+mn-lt"/>
              <a:ea typeface="+mn-ea"/>
              <a:cs typeface="+mn-cs"/>
            </a:rPr>
            <a:t>เพื่อรับทราบผลการประเมินช่วงปลายปี</a:t>
          </a:r>
          <a:r>
            <a:rPr lang="th-TH" sz="3600" baseline="0">
              <a:solidFill>
                <a:schemeClr val="tx1"/>
              </a:solidFill>
              <a:effectLst/>
              <a:latin typeface="+mn-lt"/>
              <a:ea typeface="+mn-ea"/>
              <a:cs typeface="+mn-cs"/>
            </a:rPr>
            <a:t> </a:t>
          </a:r>
          <a:r>
            <a:rPr lang="th-TH" sz="3600" baseline="0">
              <a:solidFill>
                <a:srgbClr val="0070C0"/>
              </a:solidFill>
              <a:effectLst/>
              <a:latin typeface="+mn-lt"/>
              <a:ea typeface="+mn-ea"/>
              <a:cs typeface="+mn-cs"/>
            </a:rPr>
            <a:t>ไม่ว่าจะเห็นด้วยหรือไม่ก็ตาม เป็นการยืนยันว่า ได้มีการพูดคุยชี้แจงแล้ว</a:t>
          </a:r>
        </a:p>
        <a:p>
          <a:pPr marL="0" marR="0" lvl="0" indent="0" algn="l" defTabSz="914400" eaLnBrk="1" fontAlgn="auto" latinLnBrk="0" hangingPunct="1">
            <a:lnSpc>
              <a:spcPct val="100000"/>
            </a:lnSpc>
            <a:spcBef>
              <a:spcPts val="0"/>
            </a:spcBef>
            <a:spcAft>
              <a:spcPts val="0"/>
            </a:spcAft>
            <a:buClrTx/>
            <a:buSzTx/>
            <a:buFontTx/>
            <a:buNone/>
            <a:tabLst/>
            <a:defRPr/>
          </a:pPr>
          <a:r>
            <a:rPr lang="en-US" sz="3600" b="1" i="0" u="none" baseline="0">
              <a:solidFill>
                <a:srgbClr val="7030A0"/>
              </a:solidFill>
              <a:effectLst/>
              <a:latin typeface="+mn-lt"/>
              <a:ea typeface="+mn-ea"/>
              <a:cs typeface="+mn-cs"/>
            </a:rPr>
            <a:t>--&gt; </a:t>
          </a:r>
          <a:r>
            <a:rPr lang="th-TH" sz="3600" b="1" i="0" u="none" baseline="0">
              <a:solidFill>
                <a:srgbClr val="7030A0"/>
              </a:solidFill>
              <a:effectLst/>
              <a:latin typeface="+mn-lt"/>
              <a:ea typeface="+mn-ea"/>
              <a:cs typeface="+mn-cs"/>
            </a:rPr>
            <a:t>ลงลายมือชื่อเมื่อหัวหน้างานเรียกมาพูดคุยเพื่อแจ้งผลการประเมิน </a:t>
          </a:r>
          <a:r>
            <a:rPr lang="th-TH" sz="3600" b="1" i="0" u="sng" baseline="0">
              <a:solidFill>
                <a:srgbClr val="7030A0"/>
              </a:solidFill>
              <a:effectLst/>
              <a:latin typeface="+mn-lt"/>
              <a:ea typeface="+mn-ea"/>
              <a:cs typeface="+mn-cs"/>
            </a:rPr>
            <a:t>รอผลสุดท้ายจากแผนก </a:t>
          </a:r>
          <a:r>
            <a:rPr lang="en-US" sz="3600" b="1" i="0" u="sng" baseline="0">
              <a:solidFill>
                <a:srgbClr val="7030A0"/>
              </a:solidFill>
              <a:effectLst/>
              <a:latin typeface="+mn-lt"/>
              <a:ea typeface="+mn-ea"/>
              <a:cs typeface="+mn-cs"/>
            </a:rPr>
            <a:t>HR </a:t>
          </a:r>
          <a:r>
            <a:rPr lang="th-TH" sz="3600" b="1" i="0" u="none" baseline="0">
              <a:solidFill>
                <a:srgbClr val="7030A0"/>
              </a:solidFill>
              <a:effectLst/>
              <a:latin typeface="+mn-lt"/>
              <a:ea typeface="+mn-ea"/>
              <a:cs typeface="+mn-cs"/>
            </a:rPr>
            <a:t>(ผลการประเมินจากระดับ </a:t>
          </a:r>
          <a:r>
            <a:rPr lang="en-US" sz="3600" b="1" i="0" u="none" baseline="0">
              <a:solidFill>
                <a:srgbClr val="7030A0"/>
              </a:solidFill>
              <a:effectLst/>
              <a:latin typeface="+mn-lt"/>
              <a:ea typeface="+mn-ea"/>
              <a:cs typeface="+mn-cs"/>
            </a:rPr>
            <a:t>Division </a:t>
          </a:r>
          <a:r>
            <a:rPr lang="th-TH" sz="3600" b="1" i="0" u="none" baseline="0">
              <a:solidFill>
                <a:srgbClr val="7030A0"/>
              </a:solidFill>
              <a:effectLst/>
              <a:latin typeface="+mn-lt"/>
              <a:ea typeface="+mn-ea"/>
              <a:cs typeface="+mn-cs"/>
            </a:rPr>
            <a:t>ไม่ใช่ผลการประเมินสุดท้าย)</a:t>
          </a:r>
          <a:endParaRPr lang="en-US" sz="3600" b="1" i="0" u="none" baseline="0">
            <a:solidFill>
              <a:srgbClr val="7030A0"/>
            </a:solidFill>
            <a:latin typeface="+mn-lt"/>
            <a:ea typeface="+mn-ea"/>
            <a:cs typeface="+mn-cs"/>
          </a:endParaRPr>
        </a:p>
      </xdr:txBody>
    </xdr:sp>
    <xdr:clientData/>
  </xdr:twoCellAnchor>
  <xdr:twoCellAnchor>
    <xdr:from>
      <xdr:col>2</xdr:col>
      <xdr:colOff>381000</xdr:colOff>
      <xdr:row>20</xdr:row>
      <xdr:rowOff>190463</xdr:rowOff>
    </xdr:from>
    <xdr:to>
      <xdr:col>9</xdr:col>
      <xdr:colOff>707570</xdr:colOff>
      <xdr:row>22</xdr:row>
      <xdr:rowOff>395540</xdr:rowOff>
    </xdr:to>
    <xdr:sp macro="" textlink="">
      <xdr:nvSpPr>
        <xdr:cNvPr id="20" name="Rectangle 19">
          <a:extLst>
            <a:ext uri="{FF2B5EF4-FFF2-40B4-BE49-F238E27FC236}">
              <a16:creationId xmlns:a16="http://schemas.microsoft.com/office/drawing/2014/main" id="{959E86A0-BDED-48C9-AE2F-E39B6D3763FA}"/>
            </a:ext>
          </a:extLst>
        </xdr:cNvPr>
        <xdr:cNvSpPr/>
      </xdr:nvSpPr>
      <xdr:spPr>
        <a:xfrm>
          <a:off x="2812143" y="9860606"/>
          <a:ext cx="7855856" cy="930791"/>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2400">
              <a:solidFill>
                <a:schemeClr val="tx1"/>
              </a:solidFill>
            </a:rPr>
            <a:t>แสดงผลอัตโนมัติ</a:t>
          </a:r>
          <a:r>
            <a:rPr lang="th-TH" sz="2400" baseline="0">
              <a:solidFill>
                <a:schemeClr val="tx1"/>
              </a:solidFill>
            </a:rPr>
            <a:t> เมื่อกรอก "ระดับเกรด" ตามขั้นตอนที่ </a:t>
          </a:r>
          <a:r>
            <a:rPr lang="en-US" sz="2400" baseline="0">
              <a:solidFill>
                <a:schemeClr val="tx1"/>
              </a:solidFill>
            </a:rPr>
            <a:t>1</a:t>
          </a:r>
          <a:endParaRPr lang="en-US" sz="2400">
            <a:solidFill>
              <a:schemeClr val="tx1"/>
            </a:solidFill>
          </a:endParaRPr>
        </a:p>
      </xdr:txBody>
    </xdr:sp>
    <xdr:clientData/>
  </xdr:twoCellAnchor>
  <xdr:twoCellAnchor>
    <xdr:from>
      <xdr:col>5</xdr:col>
      <xdr:colOff>653144</xdr:colOff>
      <xdr:row>23</xdr:row>
      <xdr:rowOff>47248</xdr:rowOff>
    </xdr:from>
    <xdr:to>
      <xdr:col>6</xdr:col>
      <xdr:colOff>483883</xdr:colOff>
      <xdr:row>23</xdr:row>
      <xdr:rowOff>852714</xdr:rowOff>
    </xdr:to>
    <xdr:sp macro="" textlink="">
      <xdr:nvSpPr>
        <xdr:cNvPr id="13" name="TextBox 12">
          <a:extLst>
            <a:ext uri="{FF2B5EF4-FFF2-40B4-BE49-F238E27FC236}">
              <a16:creationId xmlns:a16="http://schemas.microsoft.com/office/drawing/2014/main" id="{A3D7A317-FA9E-4D18-9F67-850B0F5DCB84}"/>
            </a:ext>
          </a:extLst>
        </xdr:cNvPr>
        <xdr:cNvSpPr txBox="1"/>
      </xdr:nvSpPr>
      <xdr:spPr>
        <a:xfrm>
          <a:off x="6241144" y="10896677"/>
          <a:ext cx="1046310" cy="805466"/>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4</a:t>
          </a:r>
        </a:p>
      </xdr:txBody>
    </xdr:sp>
    <xdr:clientData/>
  </xdr:twoCellAnchor>
  <xdr:twoCellAnchor>
    <xdr:from>
      <xdr:col>2</xdr:col>
      <xdr:colOff>18143</xdr:colOff>
      <xdr:row>24</xdr:row>
      <xdr:rowOff>145009</xdr:rowOff>
    </xdr:from>
    <xdr:to>
      <xdr:col>9</xdr:col>
      <xdr:colOff>1034146</xdr:colOff>
      <xdr:row>27</xdr:row>
      <xdr:rowOff>72571</xdr:rowOff>
    </xdr:to>
    <xdr:sp macro="" textlink="">
      <xdr:nvSpPr>
        <xdr:cNvPr id="28" name="Left Brace 27">
          <a:extLst>
            <a:ext uri="{FF2B5EF4-FFF2-40B4-BE49-F238E27FC236}">
              <a16:creationId xmlns:a16="http://schemas.microsoft.com/office/drawing/2014/main" id="{8D93CE90-E20B-4090-B3B5-1AA3965DA25F}"/>
            </a:ext>
          </a:extLst>
        </xdr:cNvPr>
        <xdr:cNvSpPr/>
      </xdr:nvSpPr>
      <xdr:spPr>
        <a:xfrm rot="16200000" flipH="1">
          <a:off x="6241078" y="8073503"/>
          <a:ext cx="961705" cy="8545289"/>
        </a:xfrm>
        <a:prstGeom prst="leftBrace">
          <a:avLst>
            <a:gd name="adj1" fmla="val 69863"/>
            <a:gd name="adj2" fmla="val 51241"/>
          </a:avLst>
        </a:prstGeom>
        <a:ln w="117475">
          <a:solidFill>
            <a:srgbClr val="C0000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17</xdr:col>
      <xdr:colOff>108858</xdr:colOff>
      <xdr:row>60</xdr:row>
      <xdr:rowOff>24423</xdr:rowOff>
    </xdr:from>
    <xdr:to>
      <xdr:col>21</xdr:col>
      <xdr:colOff>653143</xdr:colOff>
      <xdr:row>63</xdr:row>
      <xdr:rowOff>652368</xdr:rowOff>
    </xdr:to>
    <xdr:sp macro="" textlink="">
      <xdr:nvSpPr>
        <xdr:cNvPr id="29" name="Rectangle 28">
          <a:extLst>
            <a:ext uri="{FF2B5EF4-FFF2-40B4-BE49-F238E27FC236}">
              <a16:creationId xmlns:a16="http://schemas.microsoft.com/office/drawing/2014/main" id="{62DB0269-3F1D-4BA7-884C-7AC1747BDC06}"/>
            </a:ext>
          </a:extLst>
        </xdr:cNvPr>
        <xdr:cNvSpPr/>
      </xdr:nvSpPr>
      <xdr:spPr>
        <a:xfrm>
          <a:off x="17278281" y="21638846"/>
          <a:ext cx="4061208" cy="1482753"/>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2400" b="1" u="sng">
              <a:solidFill>
                <a:schemeClr val="tx1"/>
              </a:solidFill>
            </a:rPr>
            <a:t>น้ำหนัก</a:t>
          </a:r>
        </a:p>
        <a:p>
          <a:pPr algn="ctr"/>
          <a:r>
            <a:rPr lang="th-TH" sz="2400">
              <a:solidFill>
                <a:schemeClr val="tx1"/>
              </a:solidFill>
            </a:rPr>
            <a:t>แสดงผลอัตโนมัติ</a:t>
          </a:r>
          <a:r>
            <a:rPr lang="th-TH" sz="2400" baseline="0">
              <a:solidFill>
                <a:schemeClr val="tx1"/>
              </a:solidFill>
            </a:rPr>
            <a:t> เมื่อกรอก "ระดับเกรด" ตามขั้นตอนที่ </a:t>
          </a:r>
          <a:r>
            <a:rPr lang="en-US" sz="2400" baseline="0">
              <a:solidFill>
                <a:schemeClr val="tx1"/>
              </a:solidFill>
            </a:rPr>
            <a:t>1</a:t>
          </a:r>
          <a:endParaRPr lang="en-US" sz="2400">
            <a:solidFill>
              <a:schemeClr val="tx1"/>
            </a:solidFill>
          </a:endParaRPr>
        </a:p>
      </xdr:txBody>
    </xdr:sp>
    <xdr:clientData/>
  </xdr:twoCellAnchor>
  <xdr:twoCellAnchor>
    <xdr:from>
      <xdr:col>21</xdr:col>
      <xdr:colOff>244231</xdr:colOff>
      <xdr:row>62</xdr:row>
      <xdr:rowOff>228492</xdr:rowOff>
    </xdr:from>
    <xdr:to>
      <xdr:col>21</xdr:col>
      <xdr:colOff>653143</xdr:colOff>
      <xdr:row>68</xdr:row>
      <xdr:rowOff>244230</xdr:rowOff>
    </xdr:to>
    <xdr:cxnSp macro="">
      <xdr:nvCxnSpPr>
        <xdr:cNvPr id="40" name="Connector: Curved 39">
          <a:extLst>
            <a:ext uri="{FF2B5EF4-FFF2-40B4-BE49-F238E27FC236}">
              <a16:creationId xmlns:a16="http://schemas.microsoft.com/office/drawing/2014/main" id="{C6DD34CE-B7A1-4760-A13D-B4D86BCCE521}"/>
            </a:ext>
          </a:extLst>
        </xdr:cNvPr>
        <xdr:cNvCxnSpPr>
          <a:stCxn id="29" idx="3"/>
        </xdr:cNvCxnSpPr>
      </xdr:nvCxnSpPr>
      <xdr:spPr>
        <a:xfrm flipH="1">
          <a:off x="20930577" y="22380223"/>
          <a:ext cx="408912" cy="2629007"/>
        </a:xfrm>
        <a:prstGeom prst="curvedConnector4">
          <a:avLst>
            <a:gd name="adj1" fmla="val -55904"/>
            <a:gd name="adj2" fmla="val 64100"/>
          </a:avLst>
        </a:prstGeom>
        <a:ln w="114300">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478693</xdr:colOff>
      <xdr:row>64</xdr:row>
      <xdr:rowOff>24424</xdr:rowOff>
    </xdr:from>
    <xdr:to>
      <xdr:col>46</xdr:col>
      <xdr:colOff>478692</xdr:colOff>
      <xdr:row>72</xdr:row>
      <xdr:rowOff>268654</xdr:rowOff>
    </xdr:to>
    <xdr:sp macro="" textlink="">
      <xdr:nvSpPr>
        <xdr:cNvPr id="33" name="Rectangle 32">
          <a:extLst>
            <a:ext uri="{FF2B5EF4-FFF2-40B4-BE49-F238E27FC236}">
              <a16:creationId xmlns:a16="http://schemas.microsoft.com/office/drawing/2014/main" id="{770B1BED-184C-4755-9C78-5D54E954722B}"/>
            </a:ext>
          </a:extLst>
        </xdr:cNvPr>
        <xdr:cNvSpPr/>
      </xdr:nvSpPr>
      <xdr:spPr>
        <a:xfrm>
          <a:off x="11493501" y="23226347"/>
          <a:ext cx="31652306" cy="3370384"/>
        </a:xfrm>
        <a:prstGeom prst="rect">
          <a:avLst/>
        </a:prstGeom>
        <a:noFill/>
        <a:ln w="1143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solidFill>
              <a:schemeClr val="tx1"/>
            </a:solidFill>
          </a:endParaRPr>
        </a:p>
      </xdr:txBody>
    </xdr:sp>
    <xdr:clientData/>
  </xdr:twoCellAnchor>
  <xdr:twoCellAnchor>
    <xdr:from>
      <xdr:col>46</xdr:col>
      <xdr:colOff>236835</xdr:colOff>
      <xdr:row>66</xdr:row>
      <xdr:rowOff>141235</xdr:rowOff>
    </xdr:from>
    <xdr:to>
      <xdr:col>52</xdr:col>
      <xdr:colOff>229577</xdr:colOff>
      <xdr:row>69</xdr:row>
      <xdr:rowOff>310028</xdr:rowOff>
    </xdr:to>
    <xdr:sp macro="" textlink="">
      <xdr:nvSpPr>
        <xdr:cNvPr id="34" name="Rectangle 33">
          <a:extLst>
            <a:ext uri="{FF2B5EF4-FFF2-40B4-BE49-F238E27FC236}">
              <a16:creationId xmlns:a16="http://schemas.microsoft.com/office/drawing/2014/main" id="{23C8986B-199F-45FE-B518-549D5DDB7BD6}"/>
            </a:ext>
          </a:extLst>
        </xdr:cNvPr>
        <xdr:cNvSpPr/>
      </xdr:nvSpPr>
      <xdr:spPr>
        <a:xfrm>
          <a:off x="42903950" y="24124697"/>
          <a:ext cx="6000819" cy="1341100"/>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3200">
              <a:solidFill>
                <a:schemeClr val="tx1"/>
              </a:solidFill>
            </a:rPr>
            <a:t>การคำนวณผลในตารางใส่สูตรให้แล้วเรียบร้อย ไม่ต้องทำสิ่งใด</a:t>
          </a:r>
          <a:endParaRPr lang="en-US" sz="3200">
            <a:solidFill>
              <a:schemeClr val="tx1"/>
            </a:solidFill>
          </a:endParaRPr>
        </a:p>
      </xdr:txBody>
    </xdr:sp>
    <xdr:clientData/>
  </xdr:twoCellAnchor>
  <xdr:twoCellAnchor>
    <xdr:from>
      <xdr:col>46</xdr:col>
      <xdr:colOff>642258</xdr:colOff>
      <xdr:row>72</xdr:row>
      <xdr:rowOff>399654</xdr:rowOff>
    </xdr:from>
    <xdr:to>
      <xdr:col>54</xdr:col>
      <xdr:colOff>197557</xdr:colOff>
      <xdr:row>77</xdr:row>
      <xdr:rowOff>307731</xdr:rowOff>
    </xdr:to>
    <xdr:sp macro="" textlink="">
      <xdr:nvSpPr>
        <xdr:cNvPr id="46" name="Rectangle 45">
          <a:extLst>
            <a:ext uri="{FF2B5EF4-FFF2-40B4-BE49-F238E27FC236}">
              <a16:creationId xmlns:a16="http://schemas.microsoft.com/office/drawing/2014/main" id="{EC977FFF-93B0-4FF0-9FDF-F3BCF43B3905}"/>
            </a:ext>
          </a:extLst>
        </xdr:cNvPr>
        <xdr:cNvSpPr/>
      </xdr:nvSpPr>
      <xdr:spPr>
        <a:xfrm>
          <a:off x="43309373" y="26727731"/>
          <a:ext cx="6344915" cy="2521346"/>
        </a:xfrm>
        <a:prstGeom prst="rect">
          <a:avLst/>
        </a:prstGeom>
        <a:solidFill>
          <a:srgbClr val="FFC0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3200">
              <a:solidFill>
                <a:schemeClr val="tx1"/>
              </a:solidFill>
            </a:rPr>
            <a:t>ผลคะแนนสุดท้ายจากแต่ละ</a:t>
          </a:r>
          <a:r>
            <a:rPr lang="th-TH" sz="3200" baseline="0">
              <a:solidFill>
                <a:schemeClr val="tx1"/>
              </a:solidFill>
            </a:rPr>
            <a:t> </a:t>
          </a:r>
          <a:r>
            <a:rPr lang="en-US" sz="3200" baseline="0">
              <a:solidFill>
                <a:schemeClr val="tx1"/>
              </a:solidFill>
            </a:rPr>
            <a:t>Division </a:t>
          </a:r>
          <a:r>
            <a:rPr lang="th-TH" sz="3200" baseline="0">
              <a:solidFill>
                <a:schemeClr val="tx1"/>
              </a:solidFill>
            </a:rPr>
            <a:t>ที่จะนำส่ง </a:t>
          </a:r>
          <a:r>
            <a:rPr lang="en-US" sz="3200" baseline="0">
              <a:solidFill>
                <a:schemeClr val="tx1"/>
              </a:solidFill>
            </a:rPr>
            <a:t>HR </a:t>
          </a:r>
          <a:r>
            <a:rPr lang="th-TH" sz="3200" baseline="0">
              <a:solidFill>
                <a:schemeClr val="tx1"/>
              </a:solidFill>
            </a:rPr>
            <a:t>เพื่อนำไปอิงกลุ่ม</a:t>
          </a:r>
          <a:endParaRPr lang="en-US" sz="3200">
            <a:solidFill>
              <a:schemeClr val="tx1"/>
            </a:solidFill>
          </a:endParaRPr>
        </a:p>
      </xdr:txBody>
    </xdr:sp>
    <xdr:clientData/>
  </xdr:twoCellAnchor>
  <xdr:twoCellAnchor>
    <xdr:from>
      <xdr:col>1</xdr:col>
      <xdr:colOff>741345</xdr:colOff>
      <xdr:row>68</xdr:row>
      <xdr:rowOff>28889</xdr:rowOff>
    </xdr:from>
    <xdr:to>
      <xdr:col>8</xdr:col>
      <xdr:colOff>879230</xdr:colOff>
      <xdr:row>71</xdr:row>
      <xdr:rowOff>225593</xdr:rowOff>
    </xdr:to>
    <xdr:sp macro="" textlink="">
      <xdr:nvSpPr>
        <xdr:cNvPr id="52" name="Rectangle 51">
          <a:extLst>
            <a:ext uri="{FF2B5EF4-FFF2-40B4-BE49-F238E27FC236}">
              <a16:creationId xmlns:a16="http://schemas.microsoft.com/office/drawing/2014/main" id="{2129F58C-5EF3-434E-9C6E-4AA020B7E0C3}"/>
            </a:ext>
          </a:extLst>
        </xdr:cNvPr>
        <xdr:cNvSpPr/>
      </xdr:nvSpPr>
      <xdr:spPr>
        <a:xfrm>
          <a:off x="1962499" y="24378697"/>
          <a:ext cx="7831154" cy="1369011"/>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2400">
              <a:solidFill>
                <a:schemeClr val="tx1"/>
              </a:solidFill>
            </a:rPr>
            <a:t>สำหรับผู้ประเมิน</a:t>
          </a:r>
          <a:r>
            <a:rPr lang="th-TH" sz="2400" baseline="0">
              <a:solidFill>
                <a:schemeClr val="tx1"/>
              </a:solidFill>
            </a:rPr>
            <a:t> </a:t>
          </a:r>
          <a:r>
            <a:rPr lang="en-US" sz="2400" baseline="0">
              <a:solidFill>
                <a:schemeClr val="tx1"/>
              </a:solidFill>
            </a:rPr>
            <a:t>1, </a:t>
          </a:r>
          <a:r>
            <a:rPr lang="th-TH" sz="2400" baseline="0">
              <a:solidFill>
                <a:schemeClr val="tx1"/>
              </a:solidFill>
            </a:rPr>
            <a:t>และ </a:t>
          </a:r>
          <a:r>
            <a:rPr lang="en-US" sz="2400" baseline="0">
              <a:solidFill>
                <a:schemeClr val="tx1"/>
              </a:solidFill>
            </a:rPr>
            <a:t>2 </a:t>
          </a:r>
          <a:r>
            <a:rPr lang="th-TH" sz="2400" baseline="0">
              <a:solidFill>
                <a:schemeClr val="tx1"/>
              </a:solidFill>
            </a:rPr>
            <a:t>ใส่ความคิดเห็นอื่นเพิ่มเติม (ถ้ามี)</a:t>
          </a:r>
          <a:endParaRPr lang="en-US" sz="2400">
            <a:solidFill>
              <a:schemeClr val="tx1"/>
            </a:solidFill>
          </a:endParaRPr>
        </a:p>
      </xdr:txBody>
    </xdr:sp>
    <xdr:clientData/>
  </xdr:twoCellAnchor>
  <xdr:twoCellAnchor>
    <xdr:from>
      <xdr:col>11</xdr:col>
      <xdr:colOff>326571</xdr:colOff>
      <xdr:row>27</xdr:row>
      <xdr:rowOff>54428</xdr:rowOff>
    </xdr:from>
    <xdr:to>
      <xdr:col>15</xdr:col>
      <xdr:colOff>538016</xdr:colOff>
      <xdr:row>47</xdr:row>
      <xdr:rowOff>163285</xdr:rowOff>
    </xdr:to>
    <xdr:sp macro="" textlink="">
      <xdr:nvSpPr>
        <xdr:cNvPr id="53" name="Rectangle 52">
          <a:extLst>
            <a:ext uri="{FF2B5EF4-FFF2-40B4-BE49-F238E27FC236}">
              <a16:creationId xmlns:a16="http://schemas.microsoft.com/office/drawing/2014/main" id="{6F4A7537-9E64-4507-B301-F9CFE175568A}"/>
            </a:ext>
          </a:extLst>
        </xdr:cNvPr>
        <xdr:cNvSpPr/>
      </xdr:nvSpPr>
      <xdr:spPr>
        <a:xfrm>
          <a:off x="12228285" y="12808857"/>
          <a:ext cx="3767445" cy="5551714"/>
        </a:xfrm>
        <a:prstGeom prst="rect">
          <a:avLst/>
        </a:prstGeom>
        <a:solidFill>
          <a:srgbClr val="FFCCFF"/>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2400" b="0" baseline="0">
            <a:solidFill>
              <a:schemeClr val="tx1"/>
            </a:solidFill>
            <a:latin typeface="+mn-lt"/>
            <a:ea typeface="+mn-ea"/>
            <a:cs typeface="+mn-cs"/>
          </a:endParaRPr>
        </a:p>
        <a:p>
          <a:pPr algn="l"/>
          <a:r>
            <a:rPr lang="th-TH" sz="2400" b="0" baseline="0">
              <a:solidFill>
                <a:schemeClr val="tx1"/>
              </a:solidFill>
              <a:latin typeface="+mn-lt"/>
              <a:ea typeface="+mn-ea"/>
              <a:cs typeface="+mn-cs"/>
            </a:rPr>
            <a:t>เมื่อใกล้ถึงรอบการประเมินผล</a:t>
          </a:r>
        </a:p>
        <a:p>
          <a:pPr marL="0" marR="0" lvl="0" indent="0" algn="l" defTabSz="914400" eaLnBrk="1" fontAlgn="auto" latinLnBrk="0" hangingPunct="1">
            <a:lnSpc>
              <a:spcPct val="100000"/>
            </a:lnSpc>
            <a:spcBef>
              <a:spcPts val="0"/>
            </a:spcBef>
            <a:spcAft>
              <a:spcPts val="0"/>
            </a:spcAft>
            <a:buClrTx/>
            <a:buSzTx/>
            <a:buFontTx/>
            <a:buNone/>
            <a:tabLst/>
            <a:defRPr/>
          </a:pPr>
          <a:r>
            <a:rPr lang="th-TH" sz="2400" b="0" baseline="0">
              <a:solidFill>
                <a:schemeClr val="tx1"/>
              </a:solidFill>
              <a:latin typeface="+mn-lt"/>
              <a:ea typeface="+mn-ea"/>
              <a:cs typeface="+mn-cs"/>
            </a:rPr>
            <a:t>โบนัสปลายปี (รอบประเมิน</a:t>
          </a:r>
          <a:r>
            <a:rPr lang="en-US" sz="2400" b="0" baseline="0">
              <a:solidFill>
                <a:schemeClr val="tx1"/>
              </a:solidFill>
              <a:latin typeface="+mn-lt"/>
              <a:ea typeface="+mn-ea"/>
              <a:cs typeface="+mn-cs"/>
            </a:rPr>
            <a:t>: </a:t>
          </a:r>
          <a:r>
            <a:rPr lang="th-TH" sz="2400" b="0" baseline="0">
              <a:solidFill>
                <a:schemeClr val="tx1"/>
              </a:solidFill>
              <a:latin typeface="+mn-lt"/>
              <a:ea typeface="+mn-ea"/>
              <a:cs typeface="+mn-cs"/>
            </a:rPr>
            <a:t>ก.ค. - ธ.ค.)</a:t>
          </a:r>
        </a:p>
        <a:p>
          <a:pPr algn="l"/>
          <a:r>
            <a:rPr lang="th-TH" sz="2400" b="1" baseline="0">
              <a:solidFill>
                <a:srgbClr val="FF0000"/>
              </a:solidFill>
              <a:latin typeface="+mn-lt"/>
              <a:ea typeface="+mn-ea"/>
              <a:cs typeface="+mn-cs"/>
            </a:rPr>
            <a:t>ตั้งแต่  วันที่ </a:t>
          </a:r>
          <a:r>
            <a:rPr lang="en-US" sz="2400" b="1" baseline="0">
              <a:solidFill>
                <a:srgbClr val="FF0000"/>
              </a:solidFill>
              <a:latin typeface="+mn-lt"/>
              <a:ea typeface="+mn-ea"/>
              <a:cs typeface="+mn-cs"/>
            </a:rPr>
            <a:t>1 </a:t>
          </a:r>
          <a:r>
            <a:rPr lang="th-TH" sz="2400" b="1" baseline="0">
              <a:solidFill>
                <a:srgbClr val="FF0000"/>
              </a:solidFill>
              <a:latin typeface="+mn-lt"/>
              <a:ea typeface="+mn-ea"/>
              <a:cs typeface="+mn-cs"/>
            </a:rPr>
            <a:t>พ.ค.</a:t>
          </a:r>
          <a:r>
            <a:rPr lang="en-US" sz="2400" b="1" baseline="0">
              <a:solidFill>
                <a:srgbClr val="FF0000"/>
              </a:solidFill>
              <a:latin typeface="+mn-lt"/>
              <a:ea typeface="+mn-ea"/>
              <a:cs typeface="+mn-cs"/>
            </a:rPr>
            <a:t> </a:t>
          </a:r>
          <a:endParaRPr lang="th-TH" sz="2400" b="1" baseline="0">
            <a:solidFill>
              <a:srgbClr val="FF0000"/>
            </a:solidFill>
            <a:latin typeface="+mn-lt"/>
            <a:ea typeface="+mn-ea"/>
            <a:cs typeface="+mn-cs"/>
          </a:endParaRPr>
        </a:p>
        <a:p>
          <a:pPr algn="l"/>
          <a:r>
            <a:rPr lang="th-TH" sz="2400" b="1" u="sng" baseline="0">
              <a:solidFill>
                <a:schemeClr val="tx1"/>
              </a:solidFill>
              <a:latin typeface="+mn-lt"/>
              <a:ea typeface="+mn-ea"/>
              <a:cs typeface="+mn-cs"/>
            </a:rPr>
            <a:t>พนักงาน </a:t>
          </a:r>
          <a:r>
            <a:rPr lang="en-US" sz="2400" b="1" u="sng" baseline="0">
              <a:solidFill>
                <a:schemeClr val="tx1"/>
              </a:solidFill>
              <a:latin typeface="+mn-lt"/>
              <a:ea typeface="+mn-ea"/>
              <a:cs typeface="+mn-cs"/>
            </a:rPr>
            <a:t>: </a:t>
          </a:r>
          <a:r>
            <a:rPr lang="th-TH" sz="2400" b="1" u="sng" baseline="0">
              <a:solidFill>
                <a:schemeClr val="tx1"/>
              </a:solidFill>
              <a:latin typeface="+mn-lt"/>
              <a:ea typeface="+mn-ea"/>
              <a:cs typeface="+mn-cs"/>
            </a:rPr>
            <a:t>ผู้ถูกประเมิน</a:t>
          </a:r>
        </a:p>
        <a:p>
          <a:pPr algn="l"/>
          <a:r>
            <a:rPr lang="en-US" sz="4000" b="0" baseline="0">
              <a:solidFill>
                <a:schemeClr val="tx1"/>
              </a:solidFill>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พนักงานประเมินตนเองตามเกณฑ์ที่กำหนด</a:t>
          </a:r>
        </a:p>
        <a:p>
          <a:pPr algn="l"/>
          <a:r>
            <a:rPr lang="en-US" sz="4000" b="0" baseline="0">
              <a:solidFill>
                <a:schemeClr val="tx1"/>
              </a:solidFill>
              <a:latin typeface="+mn-lt"/>
              <a:ea typeface="+mn-ea"/>
              <a:cs typeface="+mn-cs"/>
              <a:sym typeface="Wingdings 2" panose="05020102010507070707" pitchFamily="18" charset="2"/>
            </a:rPr>
            <a:t></a:t>
          </a:r>
          <a:r>
            <a:rPr lang="th-TH" sz="2400" b="0" baseline="0">
              <a:solidFill>
                <a:srgbClr val="00B050"/>
              </a:solidFill>
              <a:latin typeface="+mn-lt"/>
              <a:ea typeface="+mn-ea"/>
              <a:cs typeface="+mn-cs"/>
              <a:sym typeface="Wingdings 2" panose="05020102010507070707" pitchFamily="18" charset="2"/>
            </a:rPr>
            <a:t>พร้อมระบุเหตุผลในการให้คะแนนกรณีให้คะแนนตนเอง</a:t>
          </a:r>
          <a:r>
            <a:rPr lang="th-TH" sz="2400" b="0" u="sng" baseline="0">
              <a:solidFill>
                <a:srgbClr val="FF0000"/>
              </a:solidFill>
              <a:latin typeface="+mn-lt"/>
              <a:ea typeface="+mn-ea"/>
              <a:cs typeface="+mn-cs"/>
              <a:sym typeface="Wingdings 2" panose="05020102010507070707" pitchFamily="18" charset="2"/>
            </a:rPr>
            <a:t>ตั้งแต่ </a:t>
          </a:r>
          <a:r>
            <a:rPr lang="en-US" sz="2400" b="0" u="sng" baseline="0">
              <a:solidFill>
                <a:srgbClr val="FF0000"/>
              </a:solidFill>
              <a:latin typeface="+mn-lt"/>
              <a:ea typeface="+mn-ea"/>
              <a:cs typeface="+mn-cs"/>
              <a:sym typeface="Wingdings 2" panose="05020102010507070707" pitchFamily="18" charset="2"/>
            </a:rPr>
            <a:t>4 </a:t>
          </a:r>
          <a:r>
            <a:rPr lang="th-TH" sz="2400" b="0" u="sng" baseline="0">
              <a:solidFill>
                <a:srgbClr val="FF0000"/>
              </a:solidFill>
              <a:latin typeface="+mn-lt"/>
              <a:ea typeface="+mn-ea"/>
              <a:cs typeface="+mn-cs"/>
              <a:sym typeface="Wingdings 2" panose="05020102010507070707" pitchFamily="18" charset="2"/>
            </a:rPr>
            <a:t>ขึ้นไป </a:t>
          </a:r>
          <a:r>
            <a:rPr lang="th-TH" sz="2400" b="0" baseline="0">
              <a:solidFill>
                <a:srgbClr val="00B050"/>
              </a:solidFill>
              <a:latin typeface="+mn-lt"/>
              <a:ea typeface="+mn-ea"/>
              <a:cs typeface="+mn-cs"/>
              <a:sym typeface="Wingdings 2" panose="05020102010507070707" pitchFamily="18" charset="2"/>
            </a:rPr>
            <a:t>เช่น ยกตัวอย่างพฤติกรรมการแก้ปัญหา</a:t>
          </a:r>
          <a:endParaRPr lang="th-TH" sz="2400" b="0" baseline="0">
            <a:solidFill>
              <a:srgbClr val="00B050"/>
            </a:solidFill>
            <a:latin typeface="+mn-lt"/>
            <a:ea typeface="+mn-ea"/>
            <a:cs typeface="+mn-cs"/>
          </a:endParaRPr>
        </a:p>
        <a:p>
          <a:pPr algn="l"/>
          <a:endParaRPr lang="en-US" sz="2400" b="1" baseline="0">
            <a:solidFill>
              <a:schemeClr val="tx1"/>
            </a:solidFill>
            <a:latin typeface="+mn-lt"/>
            <a:ea typeface="+mn-ea"/>
            <a:cs typeface="+mn-cs"/>
          </a:endParaRPr>
        </a:p>
      </xdr:txBody>
    </xdr:sp>
    <xdr:clientData/>
  </xdr:twoCellAnchor>
  <xdr:twoCellAnchor>
    <xdr:from>
      <xdr:col>46</xdr:col>
      <xdr:colOff>727663</xdr:colOff>
      <xdr:row>2</xdr:row>
      <xdr:rowOff>127000</xdr:rowOff>
    </xdr:from>
    <xdr:to>
      <xdr:col>47</xdr:col>
      <xdr:colOff>662598</xdr:colOff>
      <xdr:row>5</xdr:row>
      <xdr:rowOff>88509</xdr:rowOff>
    </xdr:to>
    <xdr:sp macro="" textlink="">
      <xdr:nvSpPr>
        <xdr:cNvPr id="62" name="TextBox 61">
          <a:extLst>
            <a:ext uri="{FF2B5EF4-FFF2-40B4-BE49-F238E27FC236}">
              <a16:creationId xmlns:a16="http://schemas.microsoft.com/office/drawing/2014/main" id="{D20FD0D1-607C-4EA1-8B5F-03BB3144FBEA}"/>
            </a:ext>
          </a:extLst>
        </xdr:cNvPr>
        <xdr:cNvSpPr txBox="1"/>
      </xdr:nvSpPr>
      <xdr:spPr>
        <a:xfrm>
          <a:off x="43744377" y="1016000"/>
          <a:ext cx="1059792" cy="850509"/>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1</a:t>
          </a:r>
        </a:p>
      </xdr:txBody>
    </xdr:sp>
    <xdr:clientData/>
  </xdr:twoCellAnchor>
  <xdr:twoCellAnchor>
    <xdr:from>
      <xdr:col>47</xdr:col>
      <xdr:colOff>870857</xdr:colOff>
      <xdr:row>3</xdr:row>
      <xdr:rowOff>7289</xdr:rowOff>
    </xdr:from>
    <xdr:to>
      <xdr:col>56</xdr:col>
      <xdr:colOff>4449</xdr:colOff>
      <xdr:row>8</xdr:row>
      <xdr:rowOff>238986</xdr:rowOff>
    </xdr:to>
    <xdr:sp macro="" textlink="">
      <xdr:nvSpPr>
        <xdr:cNvPr id="63" name="Rectangle 62">
          <a:extLst>
            <a:ext uri="{FF2B5EF4-FFF2-40B4-BE49-F238E27FC236}">
              <a16:creationId xmlns:a16="http://schemas.microsoft.com/office/drawing/2014/main" id="{F115BBDF-CB98-4AAB-9FCC-B080686CBF8B}"/>
            </a:ext>
          </a:extLst>
        </xdr:cNvPr>
        <xdr:cNvSpPr/>
      </xdr:nvSpPr>
      <xdr:spPr>
        <a:xfrm>
          <a:off x="45012428" y="1059575"/>
          <a:ext cx="5538021" cy="2045982"/>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800">
              <a:solidFill>
                <a:schemeClr val="tx1"/>
              </a:solidFill>
            </a:rPr>
            <a:t>พนักงานกรอก</a:t>
          </a:r>
          <a:r>
            <a:rPr lang="th-TH" sz="2800" baseline="0">
              <a:solidFill>
                <a:schemeClr val="tx1"/>
              </a:solidFill>
            </a:rPr>
            <a:t> </a:t>
          </a:r>
          <a:r>
            <a:rPr lang="th-TH" sz="2800" b="1" u="sng" baseline="0">
              <a:solidFill>
                <a:srgbClr val="FF0000"/>
              </a:solidFill>
            </a:rPr>
            <a:t>เกรดใหม่ </a:t>
          </a:r>
          <a:r>
            <a:rPr lang="th-TH" sz="2800" baseline="0">
              <a:solidFill>
                <a:schemeClr val="tx1"/>
              </a:solidFill>
            </a:rPr>
            <a:t>และ เลือกภาษาที่ต้องการแสดง </a:t>
          </a:r>
        </a:p>
        <a:p>
          <a:pPr algn="l"/>
          <a:r>
            <a:rPr lang="en-US" sz="2800" baseline="0">
              <a:solidFill>
                <a:schemeClr val="tx1"/>
              </a:solidFill>
            </a:rPr>
            <a:t>T = </a:t>
          </a:r>
          <a:r>
            <a:rPr lang="th-TH" sz="2800" baseline="0">
              <a:solidFill>
                <a:schemeClr val="tx1"/>
              </a:solidFill>
            </a:rPr>
            <a:t>ภาษาไทย</a:t>
          </a:r>
          <a:endParaRPr lang="en-US" sz="2800" baseline="0">
            <a:solidFill>
              <a:schemeClr val="tx1"/>
            </a:solidFill>
          </a:endParaRPr>
        </a:p>
        <a:p>
          <a:pPr algn="l"/>
          <a:r>
            <a:rPr lang="en-US" sz="2800" baseline="0">
              <a:solidFill>
                <a:schemeClr val="tx1"/>
              </a:solidFill>
            </a:rPr>
            <a:t>E = </a:t>
          </a:r>
          <a:r>
            <a:rPr lang="th-TH" sz="2800" baseline="0">
              <a:solidFill>
                <a:schemeClr val="tx1"/>
              </a:solidFill>
            </a:rPr>
            <a:t>ภาษาอังกฤษ</a:t>
          </a:r>
          <a:endParaRPr lang="en-US" sz="2800">
            <a:solidFill>
              <a:schemeClr val="tx1"/>
            </a:solidFill>
          </a:endParaRPr>
        </a:p>
      </xdr:txBody>
    </xdr:sp>
    <xdr:clientData/>
  </xdr:twoCellAnchor>
  <xdr:twoCellAnchor>
    <xdr:from>
      <xdr:col>9</xdr:col>
      <xdr:colOff>881450</xdr:colOff>
      <xdr:row>10</xdr:row>
      <xdr:rowOff>127000</xdr:rowOff>
    </xdr:from>
    <xdr:to>
      <xdr:col>22</xdr:col>
      <xdr:colOff>286287</xdr:colOff>
      <xdr:row>13</xdr:row>
      <xdr:rowOff>36285</xdr:rowOff>
    </xdr:to>
    <xdr:sp macro="" textlink="">
      <xdr:nvSpPr>
        <xdr:cNvPr id="64" name="Rectangle 63">
          <a:extLst>
            <a:ext uri="{FF2B5EF4-FFF2-40B4-BE49-F238E27FC236}">
              <a16:creationId xmlns:a16="http://schemas.microsoft.com/office/drawing/2014/main" id="{ED35DCA8-0919-45D0-BA34-DA899FE5B89A}"/>
            </a:ext>
          </a:extLst>
        </xdr:cNvPr>
        <xdr:cNvSpPr/>
      </xdr:nvSpPr>
      <xdr:spPr>
        <a:xfrm>
          <a:off x="10841879" y="3719286"/>
          <a:ext cx="11125122" cy="1052285"/>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3600">
              <a:solidFill>
                <a:schemeClr val="tx1"/>
              </a:solidFill>
            </a:rPr>
            <a:t>พนักงานกรอก</a:t>
          </a:r>
          <a:r>
            <a:rPr lang="th-TH" sz="3600" b="0" u="none" baseline="0">
              <a:solidFill>
                <a:schemeClr val="tx1"/>
              </a:solidFill>
            </a:rPr>
            <a:t>ประวัติส่วนตัว</a:t>
          </a:r>
          <a:r>
            <a:rPr lang="th-TH" sz="3600" b="1" u="none" baseline="0">
              <a:solidFill>
                <a:schemeClr val="tx1"/>
              </a:solidFill>
            </a:rPr>
            <a:t>ในช่องที่เป็น </a:t>
          </a:r>
          <a:r>
            <a:rPr lang="th-TH" sz="3600" b="1" u="none" baseline="0">
              <a:solidFill>
                <a:srgbClr val="0070C0"/>
              </a:solidFill>
            </a:rPr>
            <a:t>สีฟ้า </a:t>
          </a:r>
          <a:r>
            <a:rPr lang="th-TH" sz="3600" b="1" u="none" baseline="0">
              <a:solidFill>
                <a:schemeClr val="tx1"/>
              </a:solidFill>
            </a:rPr>
            <a:t>เท่านั้น</a:t>
          </a:r>
          <a:endParaRPr lang="en-US" sz="3600" u="none">
            <a:solidFill>
              <a:schemeClr val="tx1"/>
            </a:solidFill>
          </a:endParaRPr>
        </a:p>
      </xdr:txBody>
    </xdr:sp>
    <xdr:clientData/>
  </xdr:twoCellAnchor>
  <xdr:twoCellAnchor>
    <xdr:from>
      <xdr:col>8</xdr:col>
      <xdr:colOff>616856</xdr:colOff>
      <xdr:row>10</xdr:row>
      <xdr:rowOff>84350</xdr:rowOff>
    </xdr:from>
    <xdr:to>
      <xdr:col>9</xdr:col>
      <xdr:colOff>682302</xdr:colOff>
      <xdr:row>12</xdr:row>
      <xdr:rowOff>278882</xdr:rowOff>
    </xdr:to>
    <xdr:sp macro="" textlink="">
      <xdr:nvSpPr>
        <xdr:cNvPr id="65" name="TextBox 64">
          <a:extLst>
            <a:ext uri="{FF2B5EF4-FFF2-40B4-BE49-F238E27FC236}">
              <a16:creationId xmlns:a16="http://schemas.microsoft.com/office/drawing/2014/main" id="{6C613113-8992-4CF9-9959-A10C4320C408}"/>
            </a:ext>
          </a:extLst>
        </xdr:cNvPr>
        <xdr:cNvSpPr txBox="1"/>
      </xdr:nvSpPr>
      <xdr:spPr>
        <a:xfrm>
          <a:off x="9524999" y="3676636"/>
          <a:ext cx="1117732" cy="974675"/>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2</a:t>
          </a:r>
        </a:p>
      </xdr:txBody>
    </xdr:sp>
    <xdr:clientData/>
  </xdr:twoCellAnchor>
  <xdr:twoCellAnchor>
    <xdr:from>
      <xdr:col>3</xdr:col>
      <xdr:colOff>707570</xdr:colOff>
      <xdr:row>15</xdr:row>
      <xdr:rowOff>211350</xdr:rowOff>
    </xdr:from>
    <xdr:to>
      <xdr:col>4</xdr:col>
      <xdr:colOff>773017</xdr:colOff>
      <xdr:row>16</xdr:row>
      <xdr:rowOff>417675</xdr:rowOff>
    </xdr:to>
    <xdr:sp macro="" textlink="">
      <xdr:nvSpPr>
        <xdr:cNvPr id="68" name="TextBox 67">
          <a:extLst>
            <a:ext uri="{FF2B5EF4-FFF2-40B4-BE49-F238E27FC236}">
              <a16:creationId xmlns:a16="http://schemas.microsoft.com/office/drawing/2014/main" id="{0E39C9AD-D750-4911-9736-2EDC4D3186FF}"/>
            </a:ext>
          </a:extLst>
        </xdr:cNvPr>
        <xdr:cNvSpPr txBox="1"/>
      </xdr:nvSpPr>
      <xdr:spPr>
        <a:xfrm>
          <a:off x="4190999" y="6470636"/>
          <a:ext cx="1117732" cy="968325"/>
        </a:xfrm>
        <a:prstGeom prst="rect">
          <a:avLst/>
        </a:prstGeom>
        <a:solidFill>
          <a:srgbClr val="FFC00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3</a:t>
          </a:r>
        </a:p>
      </xdr:txBody>
    </xdr:sp>
    <xdr:clientData/>
  </xdr:twoCellAnchor>
  <xdr:twoCellAnchor>
    <xdr:from>
      <xdr:col>6</xdr:col>
      <xdr:colOff>158077</xdr:colOff>
      <xdr:row>15</xdr:row>
      <xdr:rowOff>210773</xdr:rowOff>
    </xdr:from>
    <xdr:to>
      <xdr:col>18</xdr:col>
      <xdr:colOff>759878</xdr:colOff>
      <xdr:row>16</xdr:row>
      <xdr:rowOff>395378</xdr:rowOff>
    </xdr:to>
    <xdr:sp macro="" textlink="">
      <xdr:nvSpPr>
        <xdr:cNvPr id="69" name="Rectangle 68">
          <a:extLst>
            <a:ext uri="{FF2B5EF4-FFF2-40B4-BE49-F238E27FC236}">
              <a16:creationId xmlns:a16="http://schemas.microsoft.com/office/drawing/2014/main" id="{1BF25C97-448C-4A1B-9672-1309CA49F5EB}"/>
            </a:ext>
          </a:extLst>
        </xdr:cNvPr>
        <xdr:cNvSpPr/>
      </xdr:nvSpPr>
      <xdr:spPr>
        <a:xfrm>
          <a:off x="6961648" y="6470059"/>
          <a:ext cx="11922944" cy="946605"/>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3600">
              <a:solidFill>
                <a:schemeClr val="tx1"/>
              </a:solidFill>
            </a:rPr>
            <a:t>แสดงผลอัตโนมัติ</a:t>
          </a:r>
          <a:r>
            <a:rPr lang="th-TH" sz="3600" baseline="0">
              <a:solidFill>
                <a:schemeClr val="tx1"/>
              </a:solidFill>
            </a:rPr>
            <a:t> เมื่อกรอก "ระดับเกรด" ตามขั้นตอนที่ </a:t>
          </a:r>
          <a:r>
            <a:rPr lang="en-US" sz="3600" baseline="0">
              <a:solidFill>
                <a:schemeClr val="tx1"/>
              </a:solidFill>
            </a:rPr>
            <a:t>1</a:t>
          </a:r>
          <a:endParaRPr lang="en-US" sz="3600">
            <a:solidFill>
              <a:schemeClr val="tx1"/>
            </a:solidFill>
          </a:endParaRPr>
        </a:p>
      </xdr:txBody>
    </xdr:sp>
    <xdr:clientData/>
  </xdr:twoCellAnchor>
  <xdr:twoCellAnchor>
    <xdr:from>
      <xdr:col>12</xdr:col>
      <xdr:colOff>608058</xdr:colOff>
      <xdr:row>25</xdr:row>
      <xdr:rowOff>127000</xdr:rowOff>
    </xdr:from>
    <xdr:to>
      <xdr:col>14</xdr:col>
      <xdr:colOff>52329</xdr:colOff>
      <xdr:row>28</xdr:row>
      <xdr:rowOff>141913</xdr:rowOff>
    </xdr:to>
    <xdr:sp macro="" textlink="">
      <xdr:nvSpPr>
        <xdr:cNvPr id="70" name="TextBox 69">
          <a:extLst>
            <a:ext uri="{FF2B5EF4-FFF2-40B4-BE49-F238E27FC236}">
              <a16:creationId xmlns:a16="http://schemas.microsoft.com/office/drawing/2014/main" id="{7AEDC67E-9D2A-4C6E-9DCA-89E4C2143F98}"/>
            </a:ext>
          </a:extLst>
        </xdr:cNvPr>
        <xdr:cNvSpPr txBox="1"/>
      </xdr:nvSpPr>
      <xdr:spPr>
        <a:xfrm flipH="1">
          <a:off x="13398772" y="12228286"/>
          <a:ext cx="1222271" cy="940198"/>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1st</a:t>
          </a:r>
        </a:p>
      </xdr:txBody>
    </xdr:sp>
    <xdr:clientData/>
  </xdr:twoCellAnchor>
  <xdr:twoCellAnchor>
    <xdr:from>
      <xdr:col>10</xdr:col>
      <xdr:colOff>206665</xdr:colOff>
      <xdr:row>51</xdr:row>
      <xdr:rowOff>130499</xdr:rowOff>
    </xdr:from>
    <xdr:to>
      <xdr:col>12</xdr:col>
      <xdr:colOff>744352</xdr:colOff>
      <xdr:row>58</xdr:row>
      <xdr:rowOff>103796</xdr:rowOff>
    </xdr:to>
    <xdr:sp macro="" textlink="">
      <xdr:nvSpPr>
        <xdr:cNvPr id="72" name="Rectangle 71">
          <a:extLst>
            <a:ext uri="{FF2B5EF4-FFF2-40B4-BE49-F238E27FC236}">
              <a16:creationId xmlns:a16="http://schemas.microsoft.com/office/drawing/2014/main" id="{1B6C3B86-7D5A-4E4D-89FA-BDBB3DDB910E}"/>
            </a:ext>
          </a:extLst>
        </xdr:cNvPr>
        <xdr:cNvSpPr/>
      </xdr:nvSpPr>
      <xdr:spPr>
        <a:xfrm>
          <a:off x="11219379" y="19416356"/>
          <a:ext cx="2315687" cy="1878297"/>
        </a:xfrm>
        <a:prstGeom prst="rect">
          <a:avLst/>
        </a:prstGeom>
        <a:solidFill>
          <a:srgbClr val="FFCCFF"/>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rgbClr val="00B050"/>
              </a:solidFill>
              <a:latin typeface="+mn-lt"/>
              <a:ea typeface="+mn-ea"/>
              <a:cs typeface="+mn-cs"/>
            </a:rPr>
            <a:t>คะแนนประเมิน (อิงเกณฑ์) ด้านบนแบบฟอร์ม</a:t>
          </a:r>
          <a:endParaRPr lang="en-US" sz="2400" b="0" baseline="0">
            <a:solidFill>
              <a:srgbClr val="00B050"/>
            </a:solidFill>
            <a:latin typeface="+mn-lt"/>
            <a:ea typeface="+mn-ea"/>
            <a:cs typeface="+mn-cs"/>
          </a:endParaRPr>
        </a:p>
      </xdr:txBody>
    </xdr:sp>
    <xdr:clientData/>
  </xdr:twoCellAnchor>
  <xdr:twoCellAnchor>
    <xdr:from>
      <xdr:col>13</xdr:col>
      <xdr:colOff>317627</xdr:colOff>
      <xdr:row>54</xdr:row>
      <xdr:rowOff>155523</xdr:rowOff>
    </xdr:from>
    <xdr:to>
      <xdr:col>16</xdr:col>
      <xdr:colOff>580572</xdr:colOff>
      <xdr:row>59</xdr:row>
      <xdr:rowOff>254000</xdr:rowOff>
    </xdr:to>
    <xdr:sp macro="" textlink="">
      <xdr:nvSpPr>
        <xdr:cNvPr id="73" name="Rectangle 72">
          <a:extLst>
            <a:ext uri="{FF2B5EF4-FFF2-40B4-BE49-F238E27FC236}">
              <a16:creationId xmlns:a16="http://schemas.microsoft.com/office/drawing/2014/main" id="{DBFDE9E4-96C7-4A26-A126-1AB81A1D4FDF}"/>
            </a:ext>
          </a:extLst>
        </xdr:cNvPr>
        <xdr:cNvSpPr/>
      </xdr:nvSpPr>
      <xdr:spPr>
        <a:xfrm>
          <a:off x="13997341" y="20257809"/>
          <a:ext cx="2929945" cy="1459191"/>
        </a:xfrm>
        <a:prstGeom prst="rect">
          <a:avLst/>
        </a:prstGeom>
        <a:solidFill>
          <a:srgbClr val="FFCCFF"/>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2400" b="0" baseline="0">
              <a:solidFill>
                <a:srgbClr val="00B050"/>
              </a:solidFill>
              <a:effectLst/>
              <a:latin typeface="+mn-lt"/>
              <a:ea typeface="+mn-ea"/>
              <a:cs typeface="+mn-cs"/>
            </a:rPr>
            <a:t>บอกเหตุผล มีตัวอย่างพฤติกรรมประกอบ</a:t>
          </a:r>
          <a:endParaRPr lang="en-US" sz="2400" b="0" baseline="0">
            <a:solidFill>
              <a:srgbClr val="00B050"/>
            </a:solidFill>
            <a:latin typeface="+mn-lt"/>
            <a:ea typeface="+mn-ea"/>
            <a:cs typeface="+mn-cs"/>
          </a:endParaRPr>
        </a:p>
      </xdr:txBody>
    </xdr:sp>
    <xdr:clientData/>
  </xdr:twoCellAnchor>
  <xdr:twoCellAnchor>
    <xdr:from>
      <xdr:col>11</xdr:col>
      <xdr:colOff>306329</xdr:colOff>
      <xdr:row>46</xdr:row>
      <xdr:rowOff>122115</xdr:rowOff>
    </xdr:from>
    <xdr:to>
      <xdr:col>13</xdr:col>
      <xdr:colOff>757115</xdr:colOff>
      <xdr:row>48</xdr:row>
      <xdr:rowOff>208722</xdr:rowOff>
    </xdr:to>
    <xdr:cxnSp macro="">
      <xdr:nvCxnSpPr>
        <xdr:cNvPr id="74" name="Connector: Curved 73">
          <a:extLst>
            <a:ext uri="{FF2B5EF4-FFF2-40B4-BE49-F238E27FC236}">
              <a16:creationId xmlns:a16="http://schemas.microsoft.com/office/drawing/2014/main" id="{243FB72D-AF86-4C13-AAE7-9498A06FFE2A}"/>
            </a:ext>
          </a:extLst>
        </xdr:cNvPr>
        <xdr:cNvCxnSpPr>
          <a:cxnSpLocks/>
          <a:endCxn id="77" idx="1"/>
        </xdr:cNvCxnSpPr>
      </xdr:nvCxnSpPr>
      <xdr:spPr>
        <a:xfrm rot="10800000" flipV="1">
          <a:off x="12200367" y="17975384"/>
          <a:ext cx="2209248" cy="623915"/>
        </a:xfrm>
        <a:prstGeom prst="curvedConnector3">
          <a:avLst>
            <a:gd name="adj1" fmla="val 50000"/>
          </a:avLst>
        </a:prstGeom>
        <a:ln w="117475">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732691</xdr:colOff>
      <xdr:row>46</xdr:row>
      <xdr:rowOff>122116</xdr:rowOff>
    </xdr:from>
    <xdr:to>
      <xdr:col>14</xdr:col>
      <xdr:colOff>78575</xdr:colOff>
      <xdr:row>50</xdr:row>
      <xdr:rowOff>145768</xdr:rowOff>
    </xdr:to>
    <xdr:cxnSp macro="">
      <xdr:nvCxnSpPr>
        <xdr:cNvPr id="75" name="Connector: Curved 74">
          <a:extLst>
            <a:ext uri="{FF2B5EF4-FFF2-40B4-BE49-F238E27FC236}">
              <a16:creationId xmlns:a16="http://schemas.microsoft.com/office/drawing/2014/main" id="{2E05ACB8-F7CD-4BA7-BA10-EBC9E213D17B}"/>
            </a:ext>
          </a:extLst>
        </xdr:cNvPr>
        <xdr:cNvCxnSpPr>
          <a:endCxn id="76" idx="0"/>
        </xdr:cNvCxnSpPr>
      </xdr:nvCxnSpPr>
      <xdr:spPr>
        <a:xfrm rot="16200000" flipH="1">
          <a:off x="13948615" y="18411961"/>
          <a:ext cx="1098268" cy="225115"/>
        </a:xfrm>
        <a:prstGeom prst="curvedConnector3">
          <a:avLst>
            <a:gd name="adj1" fmla="val 50000"/>
          </a:avLst>
        </a:prstGeom>
        <a:ln w="117475">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351556</xdr:colOff>
      <xdr:row>50</xdr:row>
      <xdr:rowOff>145768</xdr:rowOff>
    </xdr:from>
    <xdr:to>
      <xdr:col>14</xdr:col>
      <xdr:colOff>684827</xdr:colOff>
      <xdr:row>53</xdr:row>
      <xdr:rowOff>269538</xdr:rowOff>
    </xdr:to>
    <xdr:sp macro="" textlink="">
      <xdr:nvSpPr>
        <xdr:cNvPr id="76" name="TextBox 75">
          <a:extLst>
            <a:ext uri="{FF2B5EF4-FFF2-40B4-BE49-F238E27FC236}">
              <a16:creationId xmlns:a16="http://schemas.microsoft.com/office/drawing/2014/main" id="{1DE145FB-7990-4866-89F6-09AFB9EE7CAC}"/>
            </a:ext>
          </a:extLst>
        </xdr:cNvPr>
        <xdr:cNvSpPr txBox="1"/>
      </xdr:nvSpPr>
      <xdr:spPr>
        <a:xfrm flipH="1">
          <a:off x="14031270" y="19159482"/>
          <a:ext cx="1222271" cy="940199"/>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1.2</a:t>
          </a:r>
        </a:p>
      </xdr:txBody>
    </xdr:sp>
    <xdr:clientData/>
  </xdr:twoCellAnchor>
  <xdr:twoCellAnchor>
    <xdr:from>
      <xdr:col>9</xdr:col>
      <xdr:colOff>1025343</xdr:colOff>
      <xdr:row>47</xdr:row>
      <xdr:rowOff>12511</xdr:rowOff>
    </xdr:from>
    <xdr:to>
      <xdr:col>11</xdr:col>
      <xdr:colOff>306329</xdr:colOff>
      <xdr:row>50</xdr:row>
      <xdr:rowOff>136281</xdr:rowOff>
    </xdr:to>
    <xdr:sp macro="" textlink="">
      <xdr:nvSpPr>
        <xdr:cNvPr id="77" name="TextBox 76">
          <a:extLst>
            <a:ext uri="{FF2B5EF4-FFF2-40B4-BE49-F238E27FC236}">
              <a16:creationId xmlns:a16="http://schemas.microsoft.com/office/drawing/2014/main" id="{198F147F-8CC4-49CA-A619-79C43F7FB37C}"/>
            </a:ext>
          </a:extLst>
        </xdr:cNvPr>
        <xdr:cNvSpPr txBox="1"/>
      </xdr:nvSpPr>
      <xdr:spPr>
        <a:xfrm flipH="1">
          <a:off x="10985772" y="18209797"/>
          <a:ext cx="1222271" cy="940198"/>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1.1</a:t>
          </a:r>
        </a:p>
      </xdr:txBody>
    </xdr:sp>
    <xdr:clientData/>
  </xdr:twoCellAnchor>
  <xdr:twoCellAnchor>
    <xdr:from>
      <xdr:col>29</xdr:col>
      <xdr:colOff>181429</xdr:colOff>
      <xdr:row>28</xdr:row>
      <xdr:rowOff>127000</xdr:rowOff>
    </xdr:from>
    <xdr:to>
      <xdr:col>33</xdr:col>
      <xdr:colOff>392874</xdr:colOff>
      <xdr:row>48</xdr:row>
      <xdr:rowOff>235856</xdr:rowOff>
    </xdr:to>
    <xdr:sp macro="" textlink="">
      <xdr:nvSpPr>
        <xdr:cNvPr id="88" name="Rectangle 87">
          <a:extLst>
            <a:ext uri="{FF2B5EF4-FFF2-40B4-BE49-F238E27FC236}">
              <a16:creationId xmlns:a16="http://schemas.microsoft.com/office/drawing/2014/main" id="{C75F08D1-DB92-475A-ADF5-4EAA4DA663BE}"/>
            </a:ext>
          </a:extLst>
        </xdr:cNvPr>
        <xdr:cNvSpPr/>
      </xdr:nvSpPr>
      <xdr:spPr>
        <a:xfrm>
          <a:off x="28085143" y="13153571"/>
          <a:ext cx="3767445" cy="5551714"/>
        </a:xfrm>
        <a:prstGeom prst="rect">
          <a:avLst/>
        </a:prstGeom>
        <a:solidFill>
          <a:schemeClr val="accent3">
            <a:lumMod val="40000"/>
            <a:lumOff val="60000"/>
          </a:schemeClr>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2400" b="0" baseline="0">
            <a:solidFill>
              <a:schemeClr val="tx1"/>
            </a:solidFill>
            <a:latin typeface="+mn-lt"/>
            <a:ea typeface="+mn-ea"/>
            <a:cs typeface="+mn-cs"/>
          </a:endParaRPr>
        </a:p>
        <a:p>
          <a:pPr algn="l"/>
          <a:r>
            <a:rPr lang="th-TH" sz="2400" b="0" baseline="0">
              <a:solidFill>
                <a:schemeClr val="tx1"/>
              </a:solidFill>
              <a:latin typeface="+mn-lt"/>
              <a:ea typeface="+mn-ea"/>
              <a:cs typeface="+mn-cs"/>
            </a:rPr>
            <a:t>เมื่อใกล้ถึงรอบการประเมินผล</a:t>
          </a:r>
        </a:p>
        <a:p>
          <a:pPr marL="0" marR="0" lvl="0" indent="0" algn="l" defTabSz="914400" eaLnBrk="1" fontAlgn="auto" latinLnBrk="0" hangingPunct="1">
            <a:lnSpc>
              <a:spcPct val="100000"/>
            </a:lnSpc>
            <a:spcBef>
              <a:spcPts val="0"/>
            </a:spcBef>
            <a:spcAft>
              <a:spcPts val="0"/>
            </a:spcAft>
            <a:buClrTx/>
            <a:buSzTx/>
            <a:buFontTx/>
            <a:buNone/>
            <a:tabLst/>
            <a:defRPr/>
          </a:pPr>
          <a:r>
            <a:rPr lang="th-TH" sz="2400" b="0" baseline="0">
              <a:solidFill>
                <a:schemeClr val="tx1"/>
              </a:solidFill>
              <a:latin typeface="+mn-lt"/>
              <a:ea typeface="+mn-ea"/>
              <a:cs typeface="+mn-cs"/>
            </a:rPr>
            <a:t>โบนัสปลายปี (รอบประเมิน</a:t>
          </a:r>
          <a:r>
            <a:rPr lang="en-US" sz="2400" b="0" baseline="0">
              <a:solidFill>
                <a:schemeClr val="tx1"/>
              </a:solidFill>
              <a:latin typeface="+mn-lt"/>
              <a:ea typeface="+mn-ea"/>
              <a:cs typeface="+mn-cs"/>
            </a:rPr>
            <a:t>: </a:t>
          </a:r>
          <a:r>
            <a:rPr lang="th-TH" sz="2400" b="0" baseline="0">
              <a:solidFill>
                <a:schemeClr val="tx1"/>
              </a:solidFill>
              <a:latin typeface="+mn-lt"/>
              <a:ea typeface="+mn-ea"/>
              <a:cs typeface="+mn-cs"/>
            </a:rPr>
            <a:t>ก.ค. - ธ.ค.)</a:t>
          </a:r>
        </a:p>
        <a:p>
          <a:pPr algn="l"/>
          <a:r>
            <a:rPr lang="th-TH" sz="2400" b="1" baseline="0">
              <a:solidFill>
                <a:srgbClr val="FF0000"/>
              </a:solidFill>
              <a:latin typeface="+mn-lt"/>
              <a:ea typeface="+mn-ea"/>
              <a:cs typeface="+mn-cs"/>
            </a:rPr>
            <a:t>ตั้งแต่  วันที่ </a:t>
          </a:r>
          <a:r>
            <a:rPr lang="en-US" sz="2400" b="1" baseline="0">
              <a:solidFill>
                <a:srgbClr val="FF0000"/>
              </a:solidFill>
              <a:latin typeface="+mn-lt"/>
              <a:ea typeface="+mn-ea"/>
              <a:cs typeface="+mn-cs"/>
            </a:rPr>
            <a:t>1 </a:t>
          </a:r>
          <a:r>
            <a:rPr lang="th-TH" sz="2400" b="1" baseline="0">
              <a:solidFill>
                <a:srgbClr val="FF0000"/>
              </a:solidFill>
              <a:latin typeface="+mn-lt"/>
              <a:ea typeface="+mn-ea"/>
              <a:cs typeface="+mn-cs"/>
            </a:rPr>
            <a:t>พ.ย.</a:t>
          </a:r>
          <a:r>
            <a:rPr lang="en-US" sz="2400" b="1" baseline="0">
              <a:solidFill>
                <a:srgbClr val="FF0000"/>
              </a:solidFill>
              <a:latin typeface="+mn-lt"/>
              <a:ea typeface="+mn-ea"/>
              <a:cs typeface="+mn-cs"/>
            </a:rPr>
            <a:t> </a:t>
          </a:r>
          <a:endParaRPr lang="th-TH" sz="2400" b="1" baseline="0">
            <a:solidFill>
              <a:srgbClr val="FF0000"/>
            </a:solidFill>
            <a:latin typeface="+mn-lt"/>
            <a:ea typeface="+mn-ea"/>
            <a:cs typeface="+mn-cs"/>
          </a:endParaRPr>
        </a:p>
        <a:p>
          <a:pPr algn="l"/>
          <a:r>
            <a:rPr lang="th-TH" sz="2400" b="1" u="sng" baseline="0">
              <a:solidFill>
                <a:schemeClr val="tx1"/>
              </a:solidFill>
              <a:latin typeface="+mn-lt"/>
              <a:ea typeface="+mn-ea"/>
              <a:cs typeface="+mn-cs"/>
            </a:rPr>
            <a:t>พนักงาน </a:t>
          </a:r>
          <a:r>
            <a:rPr lang="en-US" sz="2400" b="1" u="sng" baseline="0">
              <a:solidFill>
                <a:schemeClr val="tx1"/>
              </a:solidFill>
              <a:latin typeface="+mn-lt"/>
              <a:ea typeface="+mn-ea"/>
              <a:cs typeface="+mn-cs"/>
            </a:rPr>
            <a:t>: </a:t>
          </a:r>
          <a:r>
            <a:rPr lang="th-TH" sz="2400" b="1" u="sng" baseline="0">
              <a:solidFill>
                <a:schemeClr val="tx1"/>
              </a:solidFill>
              <a:latin typeface="+mn-lt"/>
              <a:ea typeface="+mn-ea"/>
              <a:cs typeface="+mn-cs"/>
            </a:rPr>
            <a:t>ผู้ถูกประเมิน</a:t>
          </a:r>
        </a:p>
        <a:p>
          <a:pPr algn="l"/>
          <a:r>
            <a:rPr lang="en-US" sz="4000" b="0" baseline="0">
              <a:solidFill>
                <a:schemeClr val="tx1"/>
              </a:solidFill>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พนักงานประเมินตนเองตามเกณฑ์ที่กำหนด</a:t>
          </a:r>
        </a:p>
        <a:p>
          <a:pPr algn="l"/>
          <a:r>
            <a:rPr lang="en-US" sz="4000" b="0" baseline="0">
              <a:solidFill>
                <a:schemeClr val="tx1"/>
              </a:solidFill>
              <a:latin typeface="+mn-lt"/>
              <a:ea typeface="+mn-ea"/>
              <a:cs typeface="+mn-cs"/>
              <a:sym typeface="Wingdings 2" panose="05020102010507070707" pitchFamily="18" charset="2"/>
            </a:rPr>
            <a:t></a:t>
          </a:r>
          <a:r>
            <a:rPr lang="th-TH" sz="2400" b="0" baseline="0">
              <a:solidFill>
                <a:srgbClr val="D60093"/>
              </a:solidFill>
              <a:latin typeface="+mn-lt"/>
              <a:ea typeface="+mn-ea"/>
              <a:cs typeface="+mn-cs"/>
              <a:sym typeface="Wingdings 2" panose="05020102010507070707" pitchFamily="18" charset="2"/>
            </a:rPr>
            <a:t>พร้อมระบุเหตุผลในการให้คะแนนกรณีให้คะแนนตนเอง</a:t>
          </a:r>
          <a:r>
            <a:rPr lang="en-US" sz="2400" b="0" baseline="0">
              <a:solidFill>
                <a:srgbClr val="D60093"/>
              </a:solidFill>
              <a:latin typeface="+mn-lt"/>
              <a:ea typeface="+mn-ea"/>
              <a:cs typeface="+mn-cs"/>
              <a:sym typeface="Wingdings 2" panose="05020102010507070707" pitchFamily="18" charset="2"/>
            </a:rPr>
            <a:t> </a:t>
          </a:r>
          <a:r>
            <a:rPr lang="th-TH" sz="2400" b="1" u="sng" baseline="0">
              <a:solidFill>
                <a:srgbClr val="FF0000"/>
              </a:solidFill>
              <a:latin typeface="+mn-lt"/>
              <a:ea typeface="+mn-ea"/>
              <a:cs typeface="+mn-cs"/>
              <a:sym typeface="Wingdings 2" panose="05020102010507070707" pitchFamily="18" charset="2"/>
            </a:rPr>
            <a:t>ตั้งแต่ </a:t>
          </a:r>
          <a:r>
            <a:rPr lang="en-US" sz="2400" b="1" u="sng" baseline="0">
              <a:solidFill>
                <a:srgbClr val="FF0000"/>
              </a:solidFill>
              <a:latin typeface="+mn-lt"/>
              <a:ea typeface="+mn-ea"/>
              <a:cs typeface="+mn-cs"/>
              <a:sym typeface="Wingdings 2" panose="05020102010507070707" pitchFamily="18" charset="2"/>
            </a:rPr>
            <a:t>4 </a:t>
          </a:r>
          <a:r>
            <a:rPr lang="th-TH" sz="2400" b="1" u="sng" baseline="0">
              <a:solidFill>
                <a:srgbClr val="FF0000"/>
              </a:solidFill>
              <a:latin typeface="+mn-lt"/>
              <a:ea typeface="+mn-ea"/>
              <a:cs typeface="+mn-cs"/>
              <a:sym typeface="Wingdings 2" panose="05020102010507070707" pitchFamily="18" charset="2"/>
            </a:rPr>
            <a:t>ขึ้นไป</a:t>
          </a:r>
          <a:r>
            <a:rPr lang="th-TH" sz="2400" b="0" u="sng" baseline="0">
              <a:solidFill>
                <a:srgbClr val="D60093"/>
              </a:solidFill>
              <a:latin typeface="+mn-lt"/>
              <a:ea typeface="+mn-ea"/>
              <a:cs typeface="+mn-cs"/>
              <a:sym typeface="Wingdings 2" panose="05020102010507070707" pitchFamily="18" charset="2"/>
            </a:rPr>
            <a:t> </a:t>
          </a:r>
          <a:r>
            <a:rPr lang="th-TH" sz="2400" b="0" baseline="0">
              <a:solidFill>
                <a:srgbClr val="D60093"/>
              </a:solidFill>
              <a:latin typeface="+mn-lt"/>
              <a:ea typeface="+mn-ea"/>
              <a:cs typeface="+mn-cs"/>
              <a:sym typeface="Wingdings 2" panose="05020102010507070707" pitchFamily="18" charset="2"/>
            </a:rPr>
            <a:t>เช่น ยกตัวอย่างพฤติกรรมการแก้ปัญหา</a:t>
          </a:r>
          <a:endParaRPr lang="th-TH" sz="2400" b="0" baseline="0">
            <a:solidFill>
              <a:srgbClr val="D60093"/>
            </a:solidFill>
            <a:latin typeface="+mn-lt"/>
            <a:ea typeface="+mn-ea"/>
            <a:cs typeface="+mn-cs"/>
          </a:endParaRPr>
        </a:p>
        <a:p>
          <a:pPr algn="l"/>
          <a:endParaRPr lang="en-US" sz="2400" b="1" baseline="0">
            <a:solidFill>
              <a:schemeClr val="tx1"/>
            </a:solidFill>
            <a:latin typeface="+mn-lt"/>
            <a:ea typeface="+mn-ea"/>
            <a:cs typeface="+mn-cs"/>
          </a:endParaRPr>
        </a:p>
      </xdr:txBody>
    </xdr:sp>
    <xdr:clientData/>
  </xdr:twoCellAnchor>
  <xdr:twoCellAnchor>
    <xdr:from>
      <xdr:col>30</xdr:col>
      <xdr:colOff>462915</xdr:colOff>
      <xdr:row>26</xdr:row>
      <xdr:rowOff>90714</xdr:rowOff>
    </xdr:from>
    <xdr:to>
      <xdr:col>32</xdr:col>
      <xdr:colOff>126999</xdr:colOff>
      <xdr:row>29</xdr:row>
      <xdr:rowOff>214484</xdr:rowOff>
    </xdr:to>
    <xdr:sp macro="" textlink="">
      <xdr:nvSpPr>
        <xdr:cNvPr id="89" name="TextBox 88">
          <a:extLst>
            <a:ext uri="{FF2B5EF4-FFF2-40B4-BE49-F238E27FC236}">
              <a16:creationId xmlns:a16="http://schemas.microsoft.com/office/drawing/2014/main" id="{1B684528-0A3A-41E0-B657-E22C18C04E15}"/>
            </a:ext>
          </a:extLst>
        </xdr:cNvPr>
        <xdr:cNvSpPr txBox="1"/>
      </xdr:nvSpPr>
      <xdr:spPr>
        <a:xfrm flipH="1">
          <a:off x="29255629" y="12573000"/>
          <a:ext cx="1442084" cy="940198"/>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2nd</a:t>
          </a:r>
        </a:p>
      </xdr:txBody>
    </xdr:sp>
    <xdr:clientData/>
  </xdr:twoCellAnchor>
  <xdr:twoCellAnchor>
    <xdr:from>
      <xdr:col>28</xdr:col>
      <xdr:colOff>61523</xdr:colOff>
      <xdr:row>52</xdr:row>
      <xdr:rowOff>203070</xdr:rowOff>
    </xdr:from>
    <xdr:to>
      <xdr:col>30</xdr:col>
      <xdr:colOff>599210</xdr:colOff>
      <xdr:row>59</xdr:row>
      <xdr:rowOff>176367</xdr:rowOff>
    </xdr:to>
    <xdr:sp macro="" textlink="">
      <xdr:nvSpPr>
        <xdr:cNvPr id="90" name="Rectangle 89">
          <a:extLst>
            <a:ext uri="{FF2B5EF4-FFF2-40B4-BE49-F238E27FC236}">
              <a16:creationId xmlns:a16="http://schemas.microsoft.com/office/drawing/2014/main" id="{1B2CD015-29AB-4CFE-AABF-5665AC37A460}"/>
            </a:ext>
          </a:extLst>
        </xdr:cNvPr>
        <xdr:cNvSpPr/>
      </xdr:nvSpPr>
      <xdr:spPr>
        <a:xfrm>
          <a:off x="27076237" y="19761070"/>
          <a:ext cx="2315687" cy="1878297"/>
        </a:xfrm>
        <a:prstGeom prst="rect">
          <a:avLst/>
        </a:prstGeom>
        <a:solidFill>
          <a:schemeClr val="accent3">
            <a:lumMod val="40000"/>
            <a:lumOff val="60000"/>
          </a:schemeClr>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rgbClr val="D60093"/>
              </a:solidFill>
              <a:latin typeface="+mn-lt"/>
              <a:ea typeface="+mn-ea"/>
              <a:cs typeface="+mn-cs"/>
            </a:rPr>
            <a:t>คะแนนประเมิน (อิงเกณฑ์) ด้านบนแบบฟอร์ม</a:t>
          </a:r>
          <a:endParaRPr lang="en-US" sz="2400" b="0" baseline="0">
            <a:solidFill>
              <a:srgbClr val="D60093"/>
            </a:solidFill>
            <a:latin typeface="+mn-lt"/>
            <a:ea typeface="+mn-ea"/>
            <a:cs typeface="+mn-cs"/>
          </a:endParaRPr>
        </a:p>
      </xdr:txBody>
    </xdr:sp>
    <xdr:clientData/>
  </xdr:twoCellAnchor>
  <xdr:twoCellAnchor>
    <xdr:from>
      <xdr:col>31</xdr:col>
      <xdr:colOff>172485</xdr:colOff>
      <xdr:row>55</xdr:row>
      <xdr:rowOff>228094</xdr:rowOff>
    </xdr:from>
    <xdr:to>
      <xdr:col>34</xdr:col>
      <xdr:colOff>435430</xdr:colOff>
      <xdr:row>61</xdr:row>
      <xdr:rowOff>54428</xdr:rowOff>
    </xdr:to>
    <xdr:sp macro="" textlink="">
      <xdr:nvSpPr>
        <xdr:cNvPr id="91" name="Rectangle 90">
          <a:extLst>
            <a:ext uri="{FF2B5EF4-FFF2-40B4-BE49-F238E27FC236}">
              <a16:creationId xmlns:a16="http://schemas.microsoft.com/office/drawing/2014/main" id="{92FADF56-8163-4E55-BD03-5C91DF511E98}"/>
            </a:ext>
          </a:extLst>
        </xdr:cNvPr>
        <xdr:cNvSpPr/>
      </xdr:nvSpPr>
      <xdr:spPr>
        <a:xfrm>
          <a:off x="29854199" y="20602523"/>
          <a:ext cx="2929945" cy="1459191"/>
        </a:xfrm>
        <a:prstGeom prst="rect">
          <a:avLst/>
        </a:prstGeom>
        <a:solidFill>
          <a:schemeClr val="accent3">
            <a:lumMod val="40000"/>
            <a:lumOff val="60000"/>
          </a:schemeClr>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2400" b="0" baseline="0">
              <a:solidFill>
                <a:srgbClr val="D60093"/>
              </a:solidFill>
              <a:effectLst/>
              <a:latin typeface="+mn-lt"/>
              <a:ea typeface="+mn-ea"/>
              <a:cs typeface="+mn-cs"/>
            </a:rPr>
            <a:t>บอกเหตุผล มีตัวอย่างพฤติกรรมประกอบ</a:t>
          </a:r>
          <a:endParaRPr lang="en-US" sz="2400" b="0" baseline="0">
            <a:solidFill>
              <a:srgbClr val="D60093"/>
            </a:solidFill>
            <a:latin typeface="+mn-lt"/>
            <a:ea typeface="+mn-ea"/>
            <a:cs typeface="+mn-cs"/>
          </a:endParaRPr>
        </a:p>
      </xdr:txBody>
    </xdr:sp>
    <xdr:clientData/>
  </xdr:twoCellAnchor>
  <xdr:twoCellAnchor>
    <xdr:from>
      <xdr:col>29</xdr:col>
      <xdr:colOff>464039</xdr:colOff>
      <xdr:row>47</xdr:row>
      <xdr:rowOff>244228</xdr:rowOff>
    </xdr:from>
    <xdr:to>
      <xdr:col>31</xdr:col>
      <xdr:colOff>293077</xdr:colOff>
      <xdr:row>52</xdr:row>
      <xdr:rowOff>24423</xdr:rowOff>
    </xdr:to>
    <xdr:cxnSp macro="">
      <xdr:nvCxnSpPr>
        <xdr:cNvPr id="92" name="Connector: Curved 91">
          <a:extLst>
            <a:ext uri="{FF2B5EF4-FFF2-40B4-BE49-F238E27FC236}">
              <a16:creationId xmlns:a16="http://schemas.microsoft.com/office/drawing/2014/main" id="{638741CF-FEE7-44D3-AE92-A1F7C8DD10F5}"/>
            </a:ext>
          </a:extLst>
        </xdr:cNvPr>
        <xdr:cNvCxnSpPr>
          <a:cxnSpLocks/>
        </xdr:cNvCxnSpPr>
      </xdr:nvCxnSpPr>
      <xdr:spPr>
        <a:xfrm rot="10800000" flipV="1">
          <a:off x="28184231" y="18366151"/>
          <a:ext cx="1587500" cy="1123464"/>
        </a:xfrm>
        <a:prstGeom prst="curvedConnector3">
          <a:avLst>
            <a:gd name="adj1" fmla="val 50000"/>
          </a:avLst>
        </a:prstGeom>
        <a:ln w="117475">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244231</xdr:colOff>
      <xdr:row>47</xdr:row>
      <xdr:rowOff>219808</xdr:rowOff>
    </xdr:from>
    <xdr:to>
      <xdr:col>33</xdr:col>
      <xdr:colOff>55550</xdr:colOff>
      <xdr:row>52</xdr:row>
      <xdr:rowOff>22954</xdr:rowOff>
    </xdr:to>
    <xdr:cxnSp macro="">
      <xdr:nvCxnSpPr>
        <xdr:cNvPr id="93" name="Connector: Curved 92">
          <a:extLst>
            <a:ext uri="{FF2B5EF4-FFF2-40B4-BE49-F238E27FC236}">
              <a16:creationId xmlns:a16="http://schemas.microsoft.com/office/drawing/2014/main" id="{9E6F3EF7-025A-4198-80A2-F5B836226A50}"/>
            </a:ext>
          </a:extLst>
        </xdr:cNvPr>
        <xdr:cNvCxnSpPr>
          <a:endCxn id="94" idx="0"/>
        </xdr:cNvCxnSpPr>
      </xdr:nvCxnSpPr>
      <xdr:spPr>
        <a:xfrm>
          <a:off x="29722885" y="18341731"/>
          <a:ext cx="1569780" cy="1146415"/>
        </a:xfrm>
        <a:prstGeom prst="curvedConnector2">
          <a:avLst/>
        </a:prstGeom>
        <a:ln w="117475">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328529</xdr:colOff>
      <xdr:row>52</xdr:row>
      <xdr:rowOff>22954</xdr:rowOff>
    </xdr:from>
    <xdr:to>
      <xdr:col>33</xdr:col>
      <xdr:colOff>661801</xdr:colOff>
      <xdr:row>55</xdr:row>
      <xdr:rowOff>143235</xdr:rowOff>
    </xdr:to>
    <xdr:sp macro="" textlink="">
      <xdr:nvSpPr>
        <xdr:cNvPr id="94" name="TextBox 93">
          <a:extLst>
            <a:ext uri="{FF2B5EF4-FFF2-40B4-BE49-F238E27FC236}">
              <a16:creationId xmlns:a16="http://schemas.microsoft.com/office/drawing/2014/main" id="{08345C6C-595A-4B41-9B89-1A6068616295}"/>
            </a:ext>
          </a:extLst>
        </xdr:cNvPr>
        <xdr:cNvSpPr txBox="1"/>
      </xdr:nvSpPr>
      <xdr:spPr>
        <a:xfrm flipH="1">
          <a:off x="30686414" y="19488146"/>
          <a:ext cx="1212502" cy="926243"/>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a:solidFill>
                <a:schemeClr val="bg1"/>
              </a:solidFill>
            </a:rPr>
            <a:t>2.2</a:t>
          </a:r>
        </a:p>
      </xdr:txBody>
    </xdr:sp>
    <xdr:clientData/>
  </xdr:twoCellAnchor>
  <xdr:twoCellAnchor>
    <xdr:from>
      <xdr:col>28</xdr:col>
      <xdr:colOff>106339</xdr:colOff>
      <xdr:row>48</xdr:row>
      <xdr:rowOff>231620</xdr:rowOff>
    </xdr:from>
    <xdr:to>
      <xdr:col>29</xdr:col>
      <xdr:colOff>429841</xdr:colOff>
      <xdr:row>52</xdr:row>
      <xdr:rowOff>86736</xdr:rowOff>
    </xdr:to>
    <xdr:sp macro="" textlink="">
      <xdr:nvSpPr>
        <xdr:cNvPr id="95" name="TextBox 94">
          <a:extLst>
            <a:ext uri="{FF2B5EF4-FFF2-40B4-BE49-F238E27FC236}">
              <a16:creationId xmlns:a16="http://schemas.microsoft.com/office/drawing/2014/main" id="{71407A10-4C34-4861-B4C5-13C9EBA70422}"/>
            </a:ext>
          </a:extLst>
        </xdr:cNvPr>
        <xdr:cNvSpPr txBox="1"/>
      </xdr:nvSpPr>
      <xdr:spPr>
        <a:xfrm flipH="1">
          <a:off x="26947301" y="18622197"/>
          <a:ext cx="1202732" cy="929731"/>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a:solidFill>
                <a:schemeClr val="bg1"/>
              </a:solidFill>
            </a:rPr>
            <a:t>2.1</a:t>
          </a:r>
        </a:p>
      </xdr:txBody>
    </xdr:sp>
    <xdr:clientData/>
  </xdr:twoCellAnchor>
  <xdr:twoCellAnchor>
    <xdr:from>
      <xdr:col>17</xdr:col>
      <xdr:colOff>414370</xdr:colOff>
      <xdr:row>29</xdr:row>
      <xdr:rowOff>241655</xdr:rowOff>
    </xdr:from>
    <xdr:to>
      <xdr:col>27</xdr:col>
      <xdr:colOff>362858</xdr:colOff>
      <xdr:row>57</xdr:row>
      <xdr:rowOff>107606</xdr:rowOff>
    </xdr:to>
    <xdr:sp macro="" textlink="">
      <xdr:nvSpPr>
        <xdr:cNvPr id="96" name="Rectangle 95">
          <a:extLst>
            <a:ext uri="{FF2B5EF4-FFF2-40B4-BE49-F238E27FC236}">
              <a16:creationId xmlns:a16="http://schemas.microsoft.com/office/drawing/2014/main" id="{F4C25649-EA5B-4EED-A196-52006D8805F3}"/>
            </a:ext>
          </a:extLst>
        </xdr:cNvPr>
        <xdr:cNvSpPr/>
      </xdr:nvSpPr>
      <xdr:spPr>
        <a:xfrm>
          <a:off x="17650084" y="13540369"/>
          <a:ext cx="8838488" cy="7485951"/>
        </a:xfrm>
        <a:prstGeom prst="rect">
          <a:avLst/>
        </a:prstGeom>
        <a:solidFill>
          <a:srgbClr val="FFCCFF"/>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chemeClr val="tx1"/>
              </a:solidFill>
              <a:latin typeface="+mn-lt"/>
              <a:ea typeface="+mn-ea"/>
              <a:cs typeface="+mn-cs"/>
            </a:rPr>
            <a:t>เมื่อใกล้ถึงรอบการประเมินผล</a:t>
          </a:r>
        </a:p>
        <a:p>
          <a:pPr marL="0" marR="0" lvl="0" indent="0" algn="l" defTabSz="914400" eaLnBrk="1" fontAlgn="auto" latinLnBrk="0" hangingPunct="1">
            <a:lnSpc>
              <a:spcPct val="100000"/>
            </a:lnSpc>
            <a:spcBef>
              <a:spcPts val="0"/>
            </a:spcBef>
            <a:spcAft>
              <a:spcPts val="0"/>
            </a:spcAft>
            <a:buClrTx/>
            <a:buSzTx/>
            <a:buFontTx/>
            <a:buNone/>
            <a:tabLst/>
            <a:defRPr/>
          </a:pPr>
          <a:r>
            <a:rPr lang="th-TH" sz="2400" b="0" baseline="0">
              <a:solidFill>
                <a:schemeClr val="tx1"/>
              </a:solidFill>
              <a:latin typeface="+mn-lt"/>
              <a:ea typeface="+mn-ea"/>
              <a:cs typeface="+mn-cs"/>
            </a:rPr>
            <a:t>โบนัสกลางปี (รอบประเมิน</a:t>
          </a:r>
          <a:r>
            <a:rPr lang="en-US" sz="2400" b="0" baseline="0">
              <a:solidFill>
                <a:schemeClr val="tx1"/>
              </a:solidFill>
              <a:latin typeface="+mn-lt"/>
              <a:ea typeface="+mn-ea"/>
              <a:cs typeface="+mn-cs"/>
            </a:rPr>
            <a:t>: </a:t>
          </a:r>
          <a:r>
            <a:rPr lang="th-TH" sz="2400" b="0" baseline="0">
              <a:solidFill>
                <a:schemeClr val="tx1"/>
              </a:solidFill>
              <a:latin typeface="+mn-lt"/>
              <a:ea typeface="+mn-ea"/>
              <a:cs typeface="+mn-cs"/>
            </a:rPr>
            <a:t>ม.ค. - มิ.ย.) </a:t>
          </a:r>
        </a:p>
        <a:p>
          <a:pPr algn="l"/>
          <a:r>
            <a:rPr lang="th-TH" sz="2800" b="1" baseline="0">
              <a:solidFill>
                <a:srgbClr val="FF0000"/>
              </a:solidFill>
              <a:latin typeface="+mn-lt"/>
              <a:ea typeface="+mn-ea"/>
              <a:cs typeface="+mn-cs"/>
            </a:rPr>
            <a:t>ตั้งแต่  วันที่ </a:t>
          </a:r>
          <a:r>
            <a:rPr lang="en-US" sz="2800" b="1" baseline="0">
              <a:solidFill>
                <a:srgbClr val="FF0000"/>
              </a:solidFill>
              <a:latin typeface="+mn-lt"/>
              <a:ea typeface="+mn-ea"/>
              <a:cs typeface="+mn-cs"/>
            </a:rPr>
            <a:t>1 </a:t>
          </a:r>
          <a:r>
            <a:rPr lang="th-TH" sz="2800" b="1" baseline="0">
              <a:solidFill>
                <a:srgbClr val="FF0000"/>
              </a:solidFill>
              <a:latin typeface="+mn-lt"/>
              <a:ea typeface="+mn-ea"/>
              <a:cs typeface="+mn-cs"/>
            </a:rPr>
            <a:t>พ.ค.</a:t>
          </a:r>
          <a:r>
            <a:rPr lang="en-US" sz="2800" b="1" baseline="0">
              <a:solidFill>
                <a:srgbClr val="FF0000"/>
              </a:solidFill>
              <a:latin typeface="+mn-lt"/>
              <a:ea typeface="+mn-ea"/>
              <a:cs typeface="+mn-cs"/>
            </a:rPr>
            <a:t> </a:t>
          </a:r>
          <a:endParaRPr lang="th-TH" sz="2800" b="1" baseline="0">
            <a:solidFill>
              <a:srgbClr val="FF0000"/>
            </a:solidFill>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th-TH" sz="2400" b="1" u="sng" baseline="0">
              <a:solidFill>
                <a:schemeClr val="tx1"/>
              </a:solidFill>
              <a:latin typeface="+mn-lt"/>
              <a:ea typeface="+mn-ea"/>
              <a:cs typeface="+mn-cs"/>
            </a:rPr>
            <a:t>หัวหน้างาน </a:t>
          </a:r>
          <a:r>
            <a:rPr lang="en-US" sz="2400" b="1" u="sng" baseline="0">
              <a:solidFill>
                <a:schemeClr val="tx1"/>
              </a:solidFill>
              <a:latin typeface="+mn-lt"/>
              <a:ea typeface="+mn-ea"/>
              <a:cs typeface="+mn-cs"/>
            </a:rPr>
            <a:t>: </a:t>
          </a:r>
          <a:r>
            <a:rPr lang="th-TH" sz="2400" b="1" u="sng" baseline="0">
              <a:solidFill>
                <a:schemeClr val="tx1"/>
              </a:solidFill>
              <a:latin typeface="+mn-lt"/>
              <a:ea typeface="+mn-ea"/>
              <a:cs typeface="+mn-cs"/>
            </a:rPr>
            <a:t>ผู้ประเมินคนที่ </a:t>
          </a:r>
          <a:r>
            <a:rPr lang="en-US" sz="2400" b="1" u="sng" baseline="0">
              <a:solidFill>
                <a:schemeClr val="tx1"/>
              </a:solidFill>
              <a:latin typeface="+mn-lt"/>
              <a:ea typeface="+mn-ea"/>
              <a:cs typeface="+mn-cs"/>
            </a:rPr>
            <a:t>1, </a:t>
          </a:r>
          <a:r>
            <a:rPr lang="th-TH" sz="2400" b="1" u="sng" baseline="0">
              <a:solidFill>
                <a:schemeClr val="tx1"/>
              </a:solidFill>
              <a:latin typeface="+mn-lt"/>
              <a:ea typeface="+mn-ea"/>
              <a:cs typeface="+mn-cs"/>
            </a:rPr>
            <a:t>ผู้ประเมินคนที่ </a:t>
          </a:r>
          <a:r>
            <a:rPr lang="en-US" sz="2400" b="1" u="sng" baseline="0">
              <a:solidFill>
                <a:schemeClr val="tx1"/>
              </a:solidFill>
              <a:latin typeface="+mn-lt"/>
              <a:ea typeface="+mn-ea"/>
              <a:cs typeface="+mn-cs"/>
            </a:rPr>
            <a:t>2</a:t>
          </a:r>
        </a:p>
        <a:p>
          <a:pPr algn="l"/>
          <a:r>
            <a:rPr lang="en-US" sz="3600" b="0" baseline="0">
              <a:solidFill>
                <a:schemeClr val="tx1"/>
              </a:solidFill>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หัวหน้างาน</a:t>
          </a:r>
          <a:r>
            <a:rPr lang="en-US" sz="2400" b="0" baseline="0">
              <a:solidFill>
                <a:schemeClr val="tx1"/>
              </a:solidFill>
              <a:latin typeface="+mn-lt"/>
              <a:ea typeface="+mn-ea"/>
              <a:cs typeface="+mn-cs"/>
            </a:rPr>
            <a:t> (</a:t>
          </a:r>
          <a:r>
            <a:rPr lang="th-TH" sz="2400" b="0" baseline="0">
              <a:solidFill>
                <a:schemeClr val="tx1"/>
              </a:solidFill>
              <a:latin typeface="+mn-lt"/>
              <a:ea typeface="+mn-ea"/>
              <a:cs typeface="+mn-cs"/>
            </a:rPr>
            <a:t>ผู้ประเมินคนที่ </a:t>
          </a:r>
          <a:r>
            <a:rPr lang="en-US" sz="2400" b="0" baseline="0">
              <a:solidFill>
                <a:schemeClr val="tx1"/>
              </a:solidFill>
              <a:latin typeface="+mn-lt"/>
              <a:ea typeface="+mn-ea"/>
              <a:cs typeface="+mn-cs"/>
            </a:rPr>
            <a:t>1) </a:t>
          </a:r>
          <a:r>
            <a:rPr lang="th-TH" sz="2400" b="0" baseline="0">
              <a:solidFill>
                <a:schemeClr val="tx1"/>
              </a:solidFill>
              <a:latin typeface="+mn-lt"/>
              <a:ea typeface="+mn-ea"/>
              <a:cs typeface="+mn-cs"/>
            </a:rPr>
            <a:t>จะทำตารางนัดเพื่อพูดคุยเพื่อทบทวนผลการทำงาน (ตามหัวข้อ </a:t>
          </a:r>
          <a:r>
            <a:rPr lang="en-US" sz="2400" b="0" baseline="0">
              <a:solidFill>
                <a:schemeClr val="tx1"/>
              </a:solidFill>
              <a:latin typeface="+mn-lt"/>
              <a:ea typeface="+mn-ea"/>
              <a:cs typeface="+mn-cs"/>
            </a:rPr>
            <a:t>MBO)</a:t>
          </a:r>
          <a:r>
            <a:rPr lang="th-TH" sz="2400" b="0" baseline="0">
              <a:solidFill>
                <a:schemeClr val="tx1"/>
              </a:solidFill>
              <a:latin typeface="+mn-lt"/>
              <a:ea typeface="+mn-ea"/>
              <a:cs typeface="+mn-cs"/>
            </a:rPr>
            <a:t> และพฤติกรรมการทำงาน (ตาม </a:t>
          </a:r>
          <a:r>
            <a:rPr lang="en-US" sz="2400" b="0" baseline="0">
              <a:solidFill>
                <a:schemeClr val="tx1"/>
              </a:solidFill>
              <a:latin typeface="+mn-lt"/>
              <a:ea typeface="+mn-ea"/>
              <a:cs typeface="+mn-cs"/>
            </a:rPr>
            <a:t>6 Factors)</a:t>
          </a:r>
        </a:p>
        <a:p>
          <a:pPr algn="l"/>
          <a:r>
            <a:rPr lang="th-TH" sz="4000" b="0" baseline="0">
              <a:solidFill>
                <a:schemeClr val="tx1"/>
              </a:solidFill>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ทบทวนความสำเร็จตามเป้าหมาย </a:t>
          </a:r>
          <a:r>
            <a:rPr lang="en-US" sz="2400" b="0" baseline="0">
              <a:solidFill>
                <a:schemeClr val="tx1"/>
              </a:solidFill>
              <a:latin typeface="+mn-lt"/>
              <a:ea typeface="+mn-ea"/>
              <a:cs typeface="+mn-cs"/>
            </a:rPr>
            <a:t>MBO </a:t>
          </a:r>
          <a:r>
            <a:rPr lang="th-TH" sz="2400" b="0" baseline="0">
              <a:solidFill>
                <a:schemeClr val="tx1"/>
              </a:solidFill>
              <a:latin typeface="+mn-lt"/>
              <a:ea typeface="+mn-ea"/>
              <a:cs typeface="+mn-cs"/>
            </a:rPr>
            <a:t>พูดคุย ซักถาม ถึงวิธีการบรรลุผลสำเร็จตามเป้าหมาย ขณะเดียวกันก็ประเมินพฤติกรรม </a:t>
          </a:r>
          <a:r>
            <a:rPr lang="en-US" sz="2400" b="0" baseline="0">
              <a:solidFill>
                <a:schemeClr val="tx1"/>
              </a:solidFill>
              <a:latin typeface="+mn-lt"/>
              <a:ea typeface="+mn-ea"/>
              <a:cs typeface="+mn-cs"/>
            </a:rPr>
            <a:t>(6 Factors) </a:t>
          </a:r>
          <a:r>
            <a:rPr lang="th-TH" sz="2400" b="0" baseline="0">
              <a:solidFill>
                <a:schemeClr val="tx1"/>
              </a:solidFill>
              <a:latin typeface="+mn-lt"/>
              <a:ea typeface="+mn-ea"/>
              <a:cs typeface="+mn-cs"/>
            </a:rPr>
            <a:t>ไปด้วย</a:t>
          </a:r>
        </a:p>
        <a:p>
          <a:pPr algn="l"/>
          <a:r>
            <a:rPr lang="th-TH" sz="4000" b="0" baseline="0">
              <a:solidFill>
                <a:schemeClr val="tx1"/>
              </a:solidFill>
              <a:effectLst/>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ให้คะแนนตามความเป็นจริง (อิงเกณฑ์) ไม่ใช้ทัศนคติหรือความชอบส่วนตัว</a:t>
          </a:r>
        </a:p>
        <a:p>
          <a:pPr algn="l"/>
          <a:r>
            <a:rPr lang="th-TH" sz="4000" b="0" baseline="0">
              <a:solidFill>
                <a:schemeClr val="tx1"/>
              </a:solidFill>
              <a:effectLst/>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สรุป และ ส่งต่อให้ผู้ประเมินคนที่ </a:t>
          </a:r>
          <a:r>
            <a:rPr lang="en-US" sz="2400" b="0" baseline="0">
              <a:solidFill>
                <a:schemeClr val="tx1"/>
              </a:solidFill>
              <a:latin typeface="+mn-lt"/>
              <a:ea typeface="+mn-ea"/>
              <a:cs typeface="+mn-cs"/>
            </a:rPr>
            <a:t>2 </a:t>
          </a:r>
          <a:r>
            <a:rPr lang="th-TH" sz="2400" b="0" baseline="0">
              <a:solidFill>
                <a:schemeClr val="tx1"/>
              </a:solidFill>
              <a:latin typeface="+mn-lt"/>
              <a:ea typeface="+mn-ea"/>
              <a:cs typeface="+mn-cs"/>
            </a:rPr>
            <a:t>เพื่อให้คะแนน</a:t>
          </a:r>
        </a:p>
        <a:p>
          <a:pPr algn="l"/>
          <a:r>
            <a:rPr lang="th-TH" sz="4000" b="0" baseline="0">
              <a:solidFill>
                <a:schemeClr val="tx1"/>
              </a:solidFill>
              <a:effectLst/>
              <a:latin typeface="+mn-lt"/>
              <a:ea typeface="+mn-ea"/>
              <a:cs typeface="+mn-cs"/>
              <a:sym typeface="Wingdings 2" panose="05020102010507070707" pitchFamily="18" charset="2"/>
            </a:rPr>
            <a:t></a:t>
          </a:r>
          <a:r>
            <a:rPr lang="th-TH" sz="2400" b="1" baseline="0">
              <a:solidFill>
                <a:srgbClr val="FF0000"/>
              </a:solidFill>
              <a:latin typeface="+mn-lt"/>
              <a:ea typeface="+mn-ea"/>
              <a:cs typeface="+mn-cs"/>
            </a:rPr>
            <a:t>คะแนนของผู้ประเมินคนที่ </a:t>
          </a:r>
          <a:r>
            <a:rPr lang="en-US" sz="2400" b="1" baseline="0">
              <a:solidFill>
                <a:srgbClr val="FF0000"/>
              </a:solidFill>
              <a:latin typeface="+mn-lt"/>
              <a:ea typeface="+mn-ea"/>
              <a:cs typeface="+mn-cs"/>
            </a:rPr>
            <a:t>1</a:t>
          </a:r>
          <a:r>
            <a:rPr lang="th-TH" sz="2400" b="1" baseline="0">
              <a:solidFill>
                <a:srgbClr val="FF0000"/>
              </a:solidFill>
              <a:latin typeface="+mn-lt"/>
              <a:ea typeface="+mn-ea"/>
              <a:cs typeface="+mn-cs"/>
            </a:rPr>
            <a:t> และ คนที่ </a:t>
          </a:r>
          <a:r>
            <a:rPr lang="en-US" sz="2400" b="1" baseline="0">
              <a:solidFill>
                <a:srgbClr val="FF0000"/>
              </a:solidFill>
              <a:latin typeface="+mn-lt"/>
              <a:ea typeface="+mn-ea"/>
              <a:cs typeface="+mn-cs"/>
            </a:rPr>
            <a:t>2 </a:t>
          </a:r>
          <a:r>
            <a:rPr lang="th-TH" sz="2400" b="1" baseline="0">
              <a:solidFill>
                <a:srgbClr val="FF0000"/>
              </a:solidFill>
              <a:latin typeface="+mn-lt"/>
              <a:ea typeface="+mn-ea"/>
              <a:cs typeface="+mn-cs"/>
            </a:rPr>
            <a:t>จะต้องเท่ากัน ถ้าไม่เท่าต้องพูดคุยและหาข้อตกลงเพื่อสรุปคะแนนที่จะให้ในทางเดียวกัน</a:t>
          </a:r>
        </a:p>
        <a:p>
          <a:pPr algn="l"/>
          <a:endParaRPr lang="th-TH" sz="2400" b="0" baseline="0">
            <a:solidFill>
              <a:schemeClr val="tx1"/>
            </a:solidFill>
            <a:latin typeface="+mn-lt"/>
            <a:ea typeface="+mn-ea"/>
            <a:cs typeface="+mn-cs"/>
          </a:endParaRPr>
        </a:p>
        <a:p>
          <a:pPr algn="l"/>
          <a:endParaRPr lang="en-US" sz="2400" b="1" baseline="0">
            <a:solidFill>
              <a:schemeClr val="tx1"/>
            </a:solidFill>
            <a:latin typeface="+mn-lt"/>
            <a:ea typeface="+mn-ea"/>
            <a:cs typeface="+mn-cs"/>
          </a:endParaRPr>
        </a:p>
      </xdr:txBody>
    </xdr:sp>
    <xdr:clientData/>
  </xdr:twoCellAnchor>
  <xdr:twoCellAnchor>
    <xdr:from>
      <xdr:col>16</xdr:col>
      <xdr:colOff>388094</xdr:colOff>
      <xdr:row>26</xdr:row>
      <xdr:rowOff>54427</xdr:rowOff>
    </xdr:from>
    <xdr:to>
      <xdr:col>27</xdr:col>
      <xdr:colOff>798286</xdr:colOff>
      <xdr:row>29</xdr:row>
      <xdr:rowOff>201448</xdr:rowOff>
    </xdr:to>
    <xdr:sp macro="" textlink="">
      <xdr:nvSpPr>
        <xdr:cNvPr id="97" name="Left Brace 96">
          <a:extLst>
            <a:ext uri="{FF2B5EF4-FFF2-40B4-BE49-F238E27FC236}">
              <a16:creationId xmlns:a16="http://schemas.microsoft.com/office/drawing/2014/main" id="{92E3411C-CC0E-4C2E-95E6-FE1608582B81}"/>
            </a:ext>
          </a:extLst>
        </xdr:cNvPr>
        <xdr:cNvSpPr/>
      </xdr:nvSpPr>
      <xdr:spPr>
        <a:xfrm rot="5400000" flipH="1">
          <a:off x="21347679" y="7923842"/>
          <a:ext cx="963449" cy="10189192"/>
        </a:xfrm>
        <a:prstGeom prst="leftBrace">
          <a:avLst>
            <a:gd name="adj1" fmla="val 68098"/>
            <a:gd name="adj2" fmla="val 45735"/>
          </a:avLst>
        </a:prstGeom>
        <a:ln w="117475">
          <a:solidFill>
            <a:srgbClr val="C0000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24</xdr:col>
      <xdr:colOff>324464</xdr:colOff>
      <xdr:row>28</xdr:row>
      <xdr:rowOff>166516</xdr:rowOff>
    </xdr:from>
    <xdr:to>
      <xdr:col>25</xdr:col>
      <xdr:colOff>657735</xdr:colOff>
      <xdr:row>32</xdr:row>
      <xdr:rowOff>18142</xdr:rowOff>
    </xdr:to>
    <xdr:sp macro="" textlink="">
      <xdr:nvSpPr>
        <xdr:cNvPr id="98" name="TextBox 97">
          <a:extLst>
            <a:ext uri="{FF2B5EF4-FFF2-40B4-BE49-F238E27FC236}">
              <a16:creationId xmlns:a16="http://schemas.microsoft.com/office/drawing/2014/main" id="{1A277B7F-96EA-42DA-A03D-275318FE9ACD}"/>
            </a:ext>
          </a:extLst>
        </xdr:cNvPr>
        <xdr:cNvSpPr txBox="1"/>
      </xdr:nvSpPr>
      <xdr:spPr>
        <a:xfrm flipH="1">
          <a:off x="23783178" y="13193087"/>
          <a:ext cx="1222271" cy="940198"/>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rgbClr val="FFFF00"/>
              </a:solidFill>
            </a:rPr>
            <a:t>1.3</a:t>
          </a:r>
        </a:p>
      </xdr:txBody>
    </xdr:sp>
    <xdr:clientData/>
  </xdr:twoCellAnchor>
  <xdr:twoCellAnchor>
    <xdr:from>
      <xdr:col>35</xdr:col>
      <xdr:colOff>269227</xdr:colOff>
      <xdr:row>29</xdr:row>
      <xdr:rowOff>241655</xdr:rowOff>
    </xdr:from>
    <xdr:to>
      <xdr:col>45</xdr:col>
      <xdr:colOff>217715</xdr:colOff>
      <xdr:row>57</xdr:row>
      <xdr:rowOff>107606</xdr:rowOff>
    </xdr:to>
    <xdr:sp macro="" textlink="">
      <xdr:nvSpPr>
        <xdr:cNvPr id="99" name="Rectangle 98">
          <a:extLst>
            <a:ext uri="{FF2B5EF4-FFF2-40B4-BE49-F238E27FC236}">
              <a16:creationId xmlns:a16="http://schemas.microsoft.com/office/drawing/2014/main" id="{27A3FBCA-E5F3-45F3-AEE2-CA4964689542}"/>
            </a:ext>
          </a:extLst>
        </xdr:cNvPr>
        <xdr:cNvSpPr/>
      </xdr:nvSpPr>
      <xdr:spPr>
        <a:xfrm>
          <a:off x="33506941" y="13540369"/>
          <a:ext cx="8838488" cy="7485951"/>
        </a:xfrm>
        <a:prstGeom prst="rect">
          <a:avLst/>
        </a:prstGeom>
        <a:solidFill>
          <a:schemeClr val="accent3">
            <a:lumMod val="40000"/>
            <a:lumOff val="60000"/>
          </a:schemeClr>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2400" b="0" baseline="0">
              <a:solidFill>
                <a:schemeClr val="tx1"/>
              </a:solidFill>
              <a:latin typeface="+mn-lt"/>
              <a:ea typeface="+mn-ea"/>
              <a:cs typeface="+mn-cs"/>
            </a:rPr>
            <a:t>เมื่อใกล้ถึงรอบการประเมินผล</a:t>
          </a:r>
        </a:p>
        <a:p>
          <a:pPr marL="0" marR="0" lvl="0" indent="0" algn="l" defTabSz="914400" eaLnBrk="1" fontAlgn="auto" latinLnBrk="0" hangingPunct="1">
            <a:lnSpc>
              <a:spcPct val="100000"/>
            </a:lnSpc>
            <a:spcBef>
              <a:spcPts val="0"/>
            </a:spcBef>
            <a:spcAft>
              <a:spcPts val="0"/>
            </a:spcAft>
            <a:buClrTx/>
            <a:buSzTx/>
            <a:buFontTx/>
            <a:buNone/>
            <a:tabLst/>
            <a:defRPr/>
          </a:pPr>
          <a:r>
            <a:rPr lang="th-TH" sz="2400" b="0" baseline="0">
              <a:solidFill>
                <a:schemeClr val="tx1"/>
              </a:solidFill>
              <a:latin typeface="+mn-lt"/>
              <a:ea typeface="+mn-ea"/>
              <a:cs typeface="+mn-cs"/>
            </a:rPr>
            <a:t>โบนัสกลางปี (รอบประเมิน</a:t>
          </a:r>
          <a:r>
            <a:rPr lang="en-US" sz="2400" b="0" baseline="0">
              <a:solidFill>
                <a:schemeClr val="tx1"/>
              </a:solidFill>
              <a:latin typeface="+mn-lt"/>
              <a:ea typeface="+mn-ea"/>
              <a:cs typeface="+mn-cs"/>
            </a:rPr>
            <a:t>: </a:t>
          </a:r>
          <a:r>
            <a:rPr lang="th-TH" sz="2400" b="0" baseline="0">
              <a:solidFill>
                <a:schemeClr val="tx1"/>
              </a:solidFill>
              <a:latin typeface="+mn-lt"/>
              <a:ea typeface="+mn-ea"/>
              <a:cs typeface="+mn-cs"/>
            </a:rPr>
            <a:t>ม.ค. - มิ.ย.) </a:t>
          </a:r>
        </a:p>
        <a:p>
          <a:pPr algn="l"/>
          <a:r>
            <a:rPr lang="th-TH" sz="2800" b="1" baseline="0">
              <a:solidFill>
                <a:srgbClr val="FF0000"/>
              </a:solidFill>
              <a:latin typeface="+mn-lt"/>
              <a:ea typeface="+mn-ea"/>
              <a:cs typeface="+mn-cs"/>
            </a:rPr>
            <a:t>ตั้งแต่  วันที่ </a:t>
          </a:r>
          <a:r>
            <a:rPr lang="en-US" sz="2800" b="1" baseline="0">
              <a:solidFill>
                <a:srgbClr val="FF0000"/>
              </a:solidFill>
              <a:latin typeface="+mn-lt"/>
              <a:ea typeface="+mn-ea"/>
              <a:cs typeface="+mn-cs"/>
            </a:rPr>
            <a:t>1 </a:t>
          </a:r>
          <a:r>
            <a:rPr lang="th-TH" sz="2800" b="1" baseline="0">
              <a:solidFill>
                <a:srgbClr val="FF0000"/>
              </a:solidFill>
              <a:latin typeface="+mn-lt"/>
              <a:ea typeface="+mn-ea"/>
              <a:cs typeface="+mn-cs"/>
            </a:rPr>
            <a:t>พ.ย.</a:t>
          </a:r>
          <a:r>
            <a:rPr lang="en-US" sz="2800" b="1" baseline="0">
              <a:solidFill>
                <a:srgbClr val="FF0000"/>
              </a:solidFill>
              <a:latin typeface="+mn-lt"/>
              <a:ea typeface="+mn-ea"/>
              <a:cs typeface="+mn-cs"/>
            </a:rPr>
            <a:t> </a:t>
          </a:r>
          <a:endParaRPr lang="th-TH" sz="2800" b="1" baseline="0">
            <a:solidFill>
              <a:srgbClr val="FF0000"/>
            </a:solidFill>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th-TH" sz="2400" b="1" u="sng" baseline="0">
              <a:solidFill>
                <a:schemeClr val="tx1"/>
              </a:solidFill>
              <a:latin typeface="+mn-lt"/>
              <a:ea typeface="+mn-ea"/>
              <a:cs typeface="+mn-cs"/>
            </a:rPr>
            <a:t>หัวหน้างาน </a:t>
          </a:r>
          <a:r>
            <a:rPr lang="en-US" sz="2400" b="1" u="sng" baseline="0">
              <a:solidFill>
                <a:schemeClr val="tx1"/>
              </a:solidFill>
              <a:latin typeface="+mn-lt"/>
              <a:ea typeface="+mn-ea"/>
              <a:cs typeface="+mn-cs"/>
            </a:rPr>
            <a:t>: </a:t>
          </a:r>
          <a:r>
            <a:rPr lang="th-TH" sz="2400" b="1" u="sng" baseline="0">
              <a:solidFill>
                <a:schemeClr val="tx1"/>
              </a:solidFill>
              <a:latin typeface="+mn-lt"/>
              <a:ea typeface="+mn-ea"/>
              <a:cs typeface="+mn-cs"/>
            </a:rPr>
            <a:t>ผู้ประเมินคนที่ </a:t>
          </a:r>
          <a:r>
            <a:rPr lang="en-US" sz="2400" b="1" u="sng" baseline="0">
              <a:solidFill>
                <a:schemeClr val="tx1"/>
              </a:solidFill>
              <a:latin typeface="+mn-lt"/>
              <a:ea typeface="+mn-ea"/>
              <a:cs typeface="+mn-cs"/>
            </a:rPr>
            <a:t>1, </a:t>
          </a:r>
          <a:r>
            <a:rPr lang="th-TH" sz="2400" b="1" u="sng" baseline="0">
              <a:solidFill>
                <a:schemeClr val="tx1"/>
              </a:solidFill>
              <a:latin typeface="+mn-lt"/>
              <a:ea typeface="+mn-ea"/>
              <a:cs typeface="+mn-cs"/>
            </a:rPr>
            <a:t>ผู้ประเมินคนที่ </a:t>
          </a:r>
          <a:r>
            <a:rPr lang="en-US" sz="2400" b="1" u="sng" baseline="0">
              <a:solidFill>
                <a:schemeClr val="tx1"/>
              </a:solidFill>
              <a:latin typeface="+mn-lt"/>
              <a:ea typeface="+mn-ea"/>
              <a:cs typeface="+mn-cs"/>
            </a:rPr>
            <a:t>2</a:t>
          </a:r>
        </a:p>
        <a:p>
          <a:pPr algn="l"/>
          <a:r>
            <a:rPr lang="en-US" sz="3600" b="0" baseline="0">
              <a:solidFill>
                <a:schemeClr val="tx1"/>
              </a:solidFill>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หัวหน้างาน</a:t>
          </a:r>
          <a:r>
            <a:rPr lang="en-US" sz="2400" b="0" baseline="0">
              <a:solidFill>
                <a:schemeClr val="tx1"/>
              </a:solidFill>
              <a:latin typeface="+mn-lt"/>
              <a:ea typeface="+mn-ea"/>
              <a:cs typeface="+mn-cs"/>
            </a:rPr>
            <a:t> (</a:t>
          </a:r>
          <a:r>
            <a:rPr lang="th-TH" sz="2400" b="0" baseline="0">
              <a:solidFill>
                <a:schemeClr val="tx1"/>
              </a:solidFill>
              <a:latin typeface="+mn-lt"/>
              <a:ea typeface="+mn-ea"/>
              <a:cs typeface="+mn-cs"/>
            </a:rPr>
            <a:t>ผู้ประเมินคนที่ </a:t>
          </a:r>
          <a:r>
            <a:rPr lang="en-US" sz="2400" b="0" baseline="0">
              <a:solidFill>
                <a:schemeClr val="tx1"/>
              </a:solidFill>
              <a:latin typeface="+mn-lt"/>
              <a:ea typeface="+mn-ea"/>
              <a:cs typeface="+mn-cs"/>
            </a:rPr>
            <a:t>1) </a:t>
          </a:r>
          <a:r>
            <a:rPr lang="th-TH" sz="2400" b="0" baseline="0">
              <a:solidFill>
                <a:schemeClr val="tx1"/>
              </a:solidFill>
              <a:latin typeface="+mn-lt"/>
              <a:ea typeface="+mn-ea"/>
              <a:cs typeface="+mn-cs"/>
            </a:rPr>
            <a:t>จะทำตารางนัดเพื่อพูดคุยเพื่อทบทวนผลการทำงาน (ตามหัวข้อ </a:t>
          </a:r>
          <a:r>
            <a:rPr lang="en-US" sz="2400" b="0" baseline="0">
              <a:solidFill>
                <a:schemeClr val="tx1"/>
              </a:solidFill>
              <a:latin typeface="+mn-lt"/>
              <a:ea typeface="+mn-ea"/>
              <a:cs typeface="+mn-cs"/>
            </a:rPr>
            <a:t>MBO)</a:t>
          </a:r>
          <a:r>
            <a:rPr lang="th-TH" sz="2400" b="0" baseline="0">
              <a:solidFill>
                <a:schemeClr val="tx1"/>
              </a:solidFill>
              <a:latin typeface="+mn-lt"/>
              <a:ea typeface="+mn-ea"/>
              <a:cs typeface="+mn-cs"/>
            </a:rPr>
            <a:t> และพฤติกรรมการทำงาน (ตาม </a:t>
          </a:r>
          <a:r>
            <a:rPr lang="en-US" sz="2400" b="0" baseline="0">
              <a:solidFill>
                <a:schemeClr val="tx1"/>
              </a:solidFill>
              <a:latin typeface="+mn-lt"/>
              <a:ea typeface="+mn-ea"/>
              <a:cs typeface="+mn-cs"/>
            </a:rPr>
            <a:t>6 Factors)</a:t>
          </a:r>
        </a:p>
        <a:p>
          <a:pPr algn="l"/>
          <a:r>
            <a:rPr lang="th-TH" sz="4000" b="0" baseline="0">
              <a:solidFill>
                <a:schemeClr val="tx1"/>
              </a:solidFill>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ทบทวนความสำเร็จตามเป้าหมาย </a:t>
          </a:r>
          <a:r>
            <a:rPr lang="en-US" sz="2400" b="0" baseline="0">
              <a:solidFill>
                <a:schemeClr val="tx1"/>
              </a:solidFill>
              <a:latin typeface="+mn-lt"/>
              <a:ea typeface="+mn-ea"/>
              <a:cs typeface="+mn-cs"/>
            </a:rPr>
            <a:t>MBO </a:t>
          </a:r>
          <a:r>
            <a:rPr lang="th-TH" sz="2400" b="0" baseline="0">
              <a:solidFill>
                <a:schemeClr val="tx1"/>
              </a:solidFill>
              <a:latin typeface="+mn-lt"/>
              <a:ea typeface="+mn-ea"/>
              <a:cs typeface="+mn-cs"/>
            </a:rPr>
            <a:t>พูดคุย ซักถาม ถึงวิธีการบรรลุผลสำเร็จตามเป้าหมาย ขณะเดียวกันก็ประเมินพฤติกรรม </a:t>
          </a:r>
          <a:r>
            <a:rPr lang="en-US" sz="2400" b="0" baseline="0">
              <a:solidFill>
                <a:schemeClr val="tx1"/>
              </a:solidFill>
              <a:latin typeface="+mn-lt"/>
              <a:ea typeface="+mn-ea"/>
              <a:cs typeface="+mn-cs"/>
            </a:rPr>
            <a:t>(6 Factors) </a:t>
          </a:r>
          <a:r>
            <a:rPr lang="th-TH" sz="2400" b="0" baseline="0">
              <a:solidFill>
                <a:schemeClr val="tx1"/>
              </a:solidFill>
              <a:latin typeface="+mn-lt"/>
              <a:ea typeface="+mn-ea"/>
              <a:cs typeface="+mn-cs"/>
            </a:rPr>
            <a:t>ไปด้วย</a:t>
          </a:r>
        </a:p>
        <a:p>
          <a:pPr algn="l"/>
          <a:r>
            <a:rPr lang="th-TH" sz="4000" b="0" baseline="0">
              <a:solidFill>
                <a:schemeClr val="tx1"/>
              </a:solidFill>
              <a:effectLst/>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ให้คะแนนตามความเป็นจริง (อิงเกณฑ์) ไม่ใช้ทัศนคติหรือความชอบส่วนตัว</a:t>
          </a:r>
        </a:p>
        <a:p>
          <a:pPr algn="l"/>
          <a:r>
            <a:rPr lang="th-TH" sz="4000" b="0" baseline="0">
              <a:solidFill>
                <a:schemeClr val="tx1"/>
              </a:solidFill>
              <a:effectLst/>
              <a:latin typeface="+mn-lt"/>
              <a:ea typeface="+mn-ea"/>
              <a:cs typeface="+mn-cs"/>
              <a:sym typeface="Wingdings 2" panose="05020102010507070707" pitchFamily="18" charset="2"/>
            </a:rPr>
            <a:t></a:t>
          </a:r>
          <a:r>
            <a:rPr lang="th-TH" sz="2400" b="0" baseline="0">
              <a:solidFill>
                <a:schemeClr val="tx1"/>
              </a:solidFill>
              <a:latin typeface="+mn-lt"/>
              <a:ea typeface="+mn-ea"/>
              <a:cs typeface="+mn-cs"/>
            </a:rPr>
            <a:t>สรุป และ ส่งต่อให้ผู้ประเมินคนที่ </a:t>
          </a:r>
          <a:r>
            <a:rPr lang="en-US" sz="2400" b="0" baseline="0">
              <a:solidFill>
                <a:schemeClr val="tx1"/>
              </a:solidFill>
              <a:latin typeface="+mn-lt"/>
              <a:ea typeface="+mn-ea"/>
              <a:cs typeface="+mn-cs"/>
            </a:rPr>
            <a:t>2 </a:t>
          </a:r>
          <a:r>
            <a:rPr lang="th-TH" sz="2400" b="0" baseline="0">
              <a:solidFill>
                <a:schemeClr val="tx1"/>
              </a:solidFill>
              <a:latin typeface="+mn-lt"/>
              <a:ea typeface="+mn-ea"/>
              <a:cs typeface="+mn-cs"/>
            </a:rPr>
            <a:t>เพื่อให้คะแนน</a:t>
          </a:r>
        </a:p>
        <a:p>
          <a:pPr algn="l"/>
          <a:r>
            <a:rPr lang="th-TH" sz="4000" b="0" baseline="0">
              <a:solidFill>
                <a:schemeClr val="tx1"/>
              </a:solidFill>
              <a:effectLst/>
              <a:latin typeface="+mn-lt"/>
              <a:ea typeface="+mn-ea"/>
              <a:cs typeface="+mn-cs"/>
              <a:sym typeface="Wingdings 2" panose="05020102010507070707" pitchFamily="18" charset="2"/>
            </a:rPr>
            <a:t></a:t>
          </a:r>
          <a:r>
            <a:rPr lang="th-TH" sz="2400" b="1" baseline="0">
              <a:solidFill>
                <a:srgbClr val="FF0000"/>
              </a:solidFill>
              <a:latin typeface="+mn-lt"/>
              <a:ea typeface="+mn-ea"/>
              <a:cs typeface="+mn-cs"/>
            </a:rPr>
            <a:t>คะแนนของผู้ประเมินคนที่ </a:t>
          </a:r>
          <a:r>
            <a:rPr lang="en-US" sz="2400" b="1" baseline="0">
              <a:solidFill>
                <a:srgbClr val="FF0000"/>
              </a:solidFill>
              <a:latin typeface="+mn-lt"/>
              <a:ea typeface="+mn-ea"/>
              <a:cs typeface="+mn-cs"/>
            </a:rPr>
            <a:t>1</a:t>
          </a:r>
          <a:r>
            <a:rPr lang="th-TH" sz="2400" b="1" baseline="0">
              <a:solidFill>
                <a:srgbClr val="FF0000"/>
              </a:solidFill>
              <a:latin typeface="+mn-lt"/>
              <a:ea typeface="+mn-ea"/>
              <a:cs typeface="+mn-cs"/>
            </a:rPr>
            <a:t> และ คนที่ </a:t>
          </a:r>
          <a:r>
            <a:rPr lang="en-US" sz="2400" b="1" baseline="0">
              <a:solidFill>
                <a:srgbClr val="FF0000"/>
              </a:solidFill>
              <a:latin typeface="+mn-lt"/>
              <a:ea typeface="+mn-ea"/>
              <a:cs typeface="+mn-cs"/>
            </a:rPr>
            <a:t>2 </a:t>
          </a:r>
          <a:r>
            <a:rPr lang="th-TH" sz="2400" b="1" baseline="0">
              <a:solidFill>
                <a:srgbClr val="FF0000"/>
              </a:solidFill>
              <a:latin typeface="+mn-lt"/>
              <a:ea typeface="+mn-ea"/>
              <a:cs typeface="+mn-cs"/>
            </a:rPr>
            <a:t>จะต้องเท่ากัน ถ้าไม่เท่าต้องพูดคุยและหาข้อตกลงเพื่อสรุปคะแนนที่จะให้ในทางเดียวกัน</a:t>
          </a:r>
        </a:p>
        <a:p>
          <a:pPr algn="l"/>
          <a:endParaRPr lang="th-TH" sz="2400" b="0" baseline="0">
            <a:solidFill>
              <a:schemeClr val="tx1"/>
            </a:solidFill>
            <a:latin typeface="+mn-lt"/>
            <a:ea typeface="+mn-ea"/>
            <a:cs typeface="+mn-cs"/>
          </a:endParaRPr>
        </a:p>
        <a:p>
          <a:pPr algn="l"/>
          <a:endParaRPr lang="en-US" sz="2400" b="1" baseline="0">
            <a:solidFill>
              <a:schemeClr val="tx1"/>
            </a:solidFill>
            <a:latin typeface="+mn-lt"/>
            <a:ea typeface="+mn-ea"/>
            <a:cs typeface="+mn-cs"/>
          </a:endParaRPr>
        </a:p>
      </xdr:txBody>
    </xdr:sp>
    <xdr:clientData/>
  </xdr:twoCellAnchor>
  <xdr:twoCellAnchor>
    <xdr:from>
      <xdr:col>42</xdr:col>
      <xdr:colOff>179321</xdr:colOff>
      <xdr:row>28</xdr:row>
      <xdr:rowOff>166516</xdr:rowOff>
    </xdr:from>
    <xdr:to>
      <xdr:col>43</xdr:col>
      <xdr:colOff>512592</xdr:colOff>
      <xdr:row>32</xdr:row>
      <xdr:rowOff>18142</xdr:rowOff>
    </xdr:to>
    <xdr:sp macro="" textlink="">
      <xdr:nvSpPr>
        <xdr:cNvPr id="100" name="TextBox 99">
          <a:extLst>
            <a:ext uri="{FF2B5EF4-FFF2-40B4-BE49-F238E27FC236}">
              <a16:creationId xmlns:a16="http://schemas.microsoft.com/office/drawing/2014/main" id="{AEDD041E-4606-42BB-9E2F-E8D8448D2B95}"/>
            </a:ext>
          </a:extLst>
        </xdr:cNvPr>
        <xdr:cNvSpPr txBox="1"/>
      </xdr:nvSpPr>
      <xdr:spPr>
        <a:xfrm flipH="1">
          <a:off x="39640035" y="13193087"/>
          <a:ext cx="1222271" cy="940198"/>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rgbClr val="FFFF00"/>
              </a:solidFill>
            </a:rPr>
            <a:t>2.4</a:t>
          </a:r>
        </a:p>
      </xdr:txBody>
    </xdr:sp>
    <xdr:clientData/>
  </xdr:twoCellAnchor>
  <xdr:twoCellAnchor>
    <xdr:from>
      <xdr:col>35</xdr:col>
      <xdr:colOff>7096</xdr:colOff>
      <xdr:row>26</xdr:row>
      <xdr:rowOff>18140</xdr:rowOff>
    </xdr:from>
    <xdr:to>
      <xdr:col>45</xdr:col>
      <xdr:colOff>852715</xdr:colOff>
      <xdr:row>29</xdr:row>
      <xdr:rowOff>165161</xdr:rowOff>
    </xdr:to>
    <xdr:sp macro="" textlink="">
      <xdr:nvSpPr>
        <xdr:cNvPr id="101" name="Left Brace 100">
          <a:extLst>
            <a:ext uri="{FF2B5EF4-FFF2-40B4-BE49-F238E27FC236}">
              <a16:creationId xmlns:a16="http://schemas.microsoft.com/office/drawing/2014/main" id="{91374B01-6C96-45E0-8FC8-8C11FA64BAC3}"/>
            </a:ext>
          </a:extLst>
        </xdr:cNvPr>
        <xdr:cNvSpPr/>
      </xdr:nvSpPr>
      <xdr:spPr>
        <a:xfrm rot="5400000" flipH="1">
          <a:off x="37630895" y="8114341"/>
          <a:ext cx="963449" cy="9735619"/>
        </a:xfrm>
        <a:prstGeom prst="leftBrace">
          <a:avLst>
            <a:gd name="adj1" fmla="val 68098"/>
            <a:gd name="adj2" fmla="val 45735"/>
          </a:avLst>
        </a:prstGeom>
        <a:ln w="117475">
          <a:solidFill>
            <a:srgbClr val="C0000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21</xdr:col>
      <xdr:colOff>653143</xdr:colOff>
      <xdr:row>62</xdr:row>
      <xdr:rowOff>228492</xdr:rowOff>
    </xdr:from>
    <xdr:to>
      <xdr:col>37</xdr:col>
      <xdr:colOff>659424</xdr:colOff>
      <xdr:row>67</xdr:row>
      <xdr:rowOff>0</xdr:rowOff>
    </xdr:to>
    <xdr:cxnSp macro="">
      <xdr:nvCxnSpPr>
        <xdr:cNvPr id="102" name="Connector: Curved 101">
          <a:extLst>
            <a:ext uri="{FF2B5EF4-FFF2-40B4-BE49-F238E27FC236}">
              <a16:creationId xmlns:a16="http://schemas.microsoft.com/office/drawing/2014/main" id="{F1972BFA-14FF-4DA4-8183-2E3E1E73E461}"/>
            </a:ext>
          </a:extLst>
        </xdr:cNvPr>
        <xdr:cNvCxnSpPr>
          <a:stCxn id="29" idx="3"/>
        </xdr:cNvCxnSpPr>
      </xdr:nvCxnSpPr>
      <xdr:spPr>
        <a:xfrm>
          <a:off x="21339489" y="22380223"/>
          <a:ext cx="14073973" cy="1994008"/>
        </a:xfrm>
        <a:prstGeom prst="curvedConnector3">
          <a:avLst>
            <a:gd name="adj1" fmla="val 50000"/>
          </a:avLst>
        </a:prstGeom>
        <a:ln w="114300">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68954</xdr:colOff>
      <xdr:row>70</xdr:row>
      <xdr:rowOff>322356</xdr:rowOff>
    </xdr:from>
    <xdr:to>
      <xdr:col>46</xdr:col>
      <xdr:colOff>642259</xdr:colOff>
      <xdr:row>74</xdr:row>
      <xdr:rowOff>194943</xdr:rowOff>
    </xdr:to>
    <xdr:cxnSp macro="">
      <xdr:nvCxnSpPr>
        <xdr:cNvPr id="105" name="Connector: Curved 104">
          <a:extLst>
            <a:ext uri="{FF2B5EF4-FFF2-40B4-BE49-F238E27FC236}">
              <a16:creationId xmlns:a16="http://schemas.microsoft.com/office/drawing/2014/main" id="{369B2690-7CB9-4FE6-BAFB-441EA2F7F550}"/>
            </a:ext>
          </a:extLst>
        </xdr:cNvPr>
        <xdr:cNvCxnSpPr>
          <a:stCxn id="46" idx="1"/>
          <a:endCxn id="112" idx="5"/>
        </xdr:cNvCxnSpPr>
      </xdr:nvCxnSpPr>
      <xdr:spPr>
        <a:xfrm rot="10800000">
          <a:off x="41856839" y="25868894"/>
          <a:ext cx="1452535" cy="2119511"/>
        </a:xfrm>
        <a:prstGeom prst="curvedConnector2">
          <a:avLst/>
        </a:prstGeom>
        <a:ln w="114300">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221438</xdr:colOff>
      <xdr:row>69</xdr:row>
      <xdr:rowOff>322385</xdr:rowOff>
    </xdr:from>
    <xdr:to>
      <xdr:col>46</xdr:col>
      <xdr:colOff>642259</xdr:colOff>
      <xdr:row>74</xdr:row>
      <xdr:rowOff>194942</xdr:rowOff>
    </xdr:to>
    <xdr:cxnSp macro="">
      <xdr:nvCxnSpPr>
        <xdr:cNvPr id="109" name="Connector: Curved 108">
          <a:extLst>
            <a:ext uri="{FF2B5EF4-FFF2-40B4-BE49-F238E27FC236}">
              <a16:creationId xmlns:a16="http://schemas.microsoft.com/office/drawing/2014/main" id="{610CD1D7-8002-4CD1-9987-C7D0CA39D33F}"/>
            </a:ext>
          </a:extLst>
        </xdr:cNvPr>
        <xdr:cNvCxnSpPr>
          <a:stCxn id="46" idx="1"/>
          <a:endCxn id="115" idx="6"/>
        </xdr:cNvCxnSpPr>
      </xdr:nvCxnSpPr>
      <xdr:spPr>
        <a:xfrm rot="10800000">
          <a:off x="26183169" y="25478154"/>
          <a:ext cx="17126205" cy="2510250"/>
        </a:xfrm>
        <a:prstGeom prst="curvedConnector3">
          <a:avLst>
            <a:gd name="adj1" fmla="val 66257"/>
          </a:avLst>
        </a:prstGeom>
        <a:ln w="114300">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635001</xdr:colOff>
      <xdr:row>68</xdr:row>
      <xdr:rowOff>211667</xdr:rowOff>
    </xdr:from>
    <xdr:to>
      <xdr:col>45</xdr:col>
      <xdr:colOff>273539</xdr:colOff>
      <xdr:row>71</xdr:row>
      <xdr:rowOff>84667</xdr:rowOff>
    </xdr:to>
    <xdr:sp macro="" textlink="">
      <xdr:nvSpPr>
        <xdr:cNvPr id="112" name="Oval 111">
          <a:extLst>
            <a:ext uri="{FF2B5EF4-FFF2-40B4-BE49-F238E27FC236}">
              <a16:creationId xmlns:a16="http://schemas.microsoft.com/office/drawing/2014/main" id="{33F32E72-B95E-4076-B9DF-A75733758ABD}"/>
            </a:ext>
          </a:extLst>
        </xdr:cNvPr>
        <xdr:cNvSpPr/>
      </xdr:nvSpPr>
      <xdr:spPr>
        <a:xfrm>
          <a:off x="40664424" y="24976667"/>
          <a:ext cx="1397000" cy="1045308"/>
        </a:xfrm>
        <a:prstGeom prst="ellipse">
          <a:avLst/>
        </a:prstGeom>
        <a:noFill/>
        <a:ln w="1143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683847</xdr:colOff>
      <xdr:row>68</xdr:row>
      <xdr:rowOff>190500</xdr:rowOff>
    </xdr:from>
    <xdr:to>
      <xdr:col>27</xdr:col>
      <xdr:colOff>221437</xdr:colOff>
      <xdr:row>71</xdr:row>
      <xdr:rowOff>63500</xdr:rowOff>
    </xdr:to>
    <xdr:sp macro="" textlink="">
      <xdr:nvSpPr>
        <xdr:cNvPr id="115" name="Oval 114">
          <a:extLst>
            <a:ext uri="{FF2B5EF4-FFF2-40B4-BE49-F238E27FC236}">
              <a16:creationId xmlns:a16="http://schemas.microsoft.com/office/drawing/2014/main" id="{2B204CCA-723F-43C1-B34F-8B361669E2C4}"/>
            </a:ext>
          </a:extLst>
        </xdr:cNvPr>
        <xdr:cNvSpPr/>
      </xdr:nvSpPr>
      <xdr:spPr>
        <a:xfrm>
          <a:off x="24887116" y="24955500"/>
          <a:ext cx="1296052" cy="1045308"/>
        </a:xfrm>
        <a:prstGeom prst="ellipse">
          <a:avLst/>
        </a:prstGeom>
        <a:noFill/>
        <a:ln w="1143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519848</xdr:colOff>
      <xdr:row>65</xdr:row>
      <xdr:rowOff>117670</xdr:rowOff>
    </xdr:from>
    <xdr:to>
      <xdr:col>3</xdr:col>
      <xdr:colOff>682158</xdr:colOff>
      <xdr:row>67</xdr:row>
      <xdr:rowOff>262373</xdr:rowOff>
    </xdr:to>
    <xdr:sp macro="" textlink="">
      <xdr:nvSpPr>
        <xdr:cNvPr id="118" name="TextBox 117">
          <a:extLst>
            <a:ext uri="{FF2B5EF4-FFF2-40B4-BE49-F238E27FC236}">
              <a16:creationId xmlns:a16="http://schemas.microsoft.com/office/drawing/2014/main" id="{C3C14351-06DA-4873-810A-BE1CB17E7211}"/>
            </a:ext>
          </a:extLst>
        </xdr:cNvPr>
        <xdr:cNvSpPr txBox="1"/>
      </xdr:nvSpPr>
      <xdr:spPr>
        <a:xfrm flipH="1">
          <a:off x="2962156" y="23295170"/>
          <a:ext cx="1212502" cy="926241"/>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rgbClr val="FFFF00"/>
              </a:solidFill>
            </a:rPr>
            <a:t>1.4</a:t>
          </a:r>
        </a:p>
      </xdr:txBody>
    </xdr:sp>
    <xdr:clientData/>
  </xdr:twoCellAnchor>
  <xdr:twoCellAnchor>
    <xdr:from>
      <xdr:col>0</xdr:col>
      <xdr:colOff>195385</xdr:colOff>
      <xdr:row>79</xdr:row>
      <xdr:rowOff>134697</xdr:rowOff>
    </xdr:from>
    <xdr:to>
      <xdr:col>45</xdr:col>
      <xdr:colOff>659423</xdr:colOff>
      <xdr:row>84</xdr:row>
      <xdr:rowOff>244232</xdr:rowOff>
    </xdr:to>
    <xdr:sp macro="" textlink="">
      <xdr:nvSpPr>
        <xdr:cNvPr id="120" name="Rectangle 119">
          <a:extLst>
            <a:ext uri="{FF2B5EF4-FFF2-40B4-BE49-F238E27FC236}">
              <a16:creationId xmlns:a16="http://schemas.microsoft.com/office/drawing/2014/main" id="{C07C9F64-24AD-47D8-A7BF-8B5BCBB2BD06}"/>
            </a:ext>
          </a:extLst>
        </xdr:cNvPr>
        <xdr:cNvSpPr/>
      </xdr:nvSpPr>
      <xdr:spPr>
        <a:xfrm>
          <a:off x="195385" y="30537727"/>
          <a:ext cx="42354796" cy="4535293"/>
        </a:xfrm>
        <a:prstGeom prst="rect">
          <a:avLst/>
        </a:prstGeom>
        <a:noFill/>
        <a:ln w="1143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a:solidFill>
              <a:schemeClr val="tx1"/>
            </a:solidFill>
          </a:endParaRPr>
        </a:p>
      </xdr:txBody>
    </xdr:sp>
    <xdr:clientData/>
  </xdr:twoCellAnchor>
  <xdr:twoCellAnchor>
    <xdr:from>
      <xdr:col>42</xdr:col>
      <xdr:colOff>73270</xdr:colOff>
      <xdr:row>2</xdr:row>
      <xdr:rowOff>219808</xdr:rowOff>
    </xdr:from>
    <xdr:to>
      <xdr:col>43</xdr:col>
      <xdr:colOff>406541</xdr:colOff>
      <xdr:row>5</xdr:row>
      <xdr:rowOff>47011</xdr:rowOff>
    </xdr:to>
    <xdr:sp macro="" textlink="">
      <xdr:nvSpPr>
        <xdr:cNvPr id="121" name="TextBox 120">
          <a:extLst>
            <a:ext uri="{FF2B5EF4-FFF2-40B4-BE49-F238E27FC236}">
              <a16:creationId xmlns:a16="http://schemas.microsoft.com/office/drawing/2014/main" id="{CB0CA50F-1459-408F-A259-127368542D3F}"/>
            </a:ext>
          </a:extLst>
        </xdr:cNvPr>
        <xdr:cNvSpPr txBox="1"/>
      </xdr:nvSpPr>
      <xdr:spPr>
        <a:xfrm flipH="1">
          <a:off x="39223462" y="1099039"/>
          <a:ext cx="1212502" cy="926241"/>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1.5</a:t>
          </a:r>
        </a:p>
      </xdr:txBody>
    </xdr:sp>
    <xdr:clientData/>
  </xdr:twoCellAnchor>
  <xdr:twoCellAnchor>
    <xdr:from>
      <xdr:col>1</xdr:col>
      <xdr:colOff>367567</xdr:colOff>
      <xdr:row>81</xdr:row>
      <xdr:rowOff>541774</xdr:rowOff>
    </xdr:from>
    <xdr:to>
      <xdr:col>4</xdr:col>
      <xdr:colOff>514106</xdr:colOff>
      <xdr:row>82</xdr:row>
      <xdr:rowOff>732692</xdr:rowOff>
    </xdr:to>
    <xdr:sp macro="" textlink="">
      <xdr:nvSpPr>
        <xdr:cNvPr id="126" name="Rectangle 125">
          <a:extLst>
            <a:ext uri="{FF2B5EF4-FFF2-40B4-BE49-F238E27FC236}">
              <a16:creationId xmlns:a16="http://schemas.microsoft.com/office/drawing/2014/main" id="{C772CBAC-DA5D-4A8F-BB18-8B16E30A6739}"/>
            </a:ext>
          </a:extLst>
        </xdr:cNvPr>
        <xdr:cNvSpPr/>
      </xdr:nvSpPr>
      <xdr:spPr>
        <a:xfrm>
          <a:off x="1574067" y="32529899"/>
          <a:ext cx="3448539" cy="1079918"/>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2400">
              <a:solidFill>
                <a:schemeClr val="tx1"/>
              </a:solidFill>
            </a:rPr>
            <a:t>กรอกสิ่งที่เป็นจุดแข็ง</a:t>
          </a:r>
          <a:endParaRPr lang="en-US" sz="2400">
            <a:solidFill>
              <a:schemeClr val="tx1"/>
            </a:solidFill>
          </a:endParaRPr>
        </a:p>
      </xdr:txBody>
    </xdr:sp>
    <xdr:clientData/>
  </xdr:twoCellAnchor>
  <xdr:twoCellAnchor>
    <xdr:from>
      <xdr:col>9</xdr:col>
      <xdr:colOff>323606</xdr:colOff>
      <xdr:row>81</xdr:row>
      <xdr:rowOff>650875</xdr:rowOff>
    </xdr:from>
    <xdr:to>
      <xdr:col>12</xdr:col>
      <xdr:colOff>763221</xdr:colOff>
      <xdr:row>82</xdr:row>
      <xdr:rowOff>803199</xdr:rowOff>
    </xdr:to>
    <xdr:sp macro="" textlink="">
      <xdr:nvSpPr>
        <xdr:cNvPr id="127" name="Rectangle 126">
          <a:extLst>
            <a:ext uri="{FF2B5EF4-FFF2-40B4-BE49-F238E27FC236}">
              <a16:creationId xmlns:a16="http://schemas.microsoft.com/office/drawing/2014/main" id="{6FDAC3AE-ADA1-4FC2-853F-88B6DD298F0D}"/>
            </a:ext>
          </a:extLst>
        </xdr:cNvPr>
        <xdr:cNvSpPr/>
      </xdr:nvSpPr>
      <xdr:spPr>
        <a:xfrm>
          <a:off x="10229606" y="32639000"/>
          <a:ext cx="3265365" cy="1041324"/>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2400">
              <a:solidFill>
                <a:schemeClr val="tx1"/>
              </a:solidFill>
            </a:rPr>
            <a:t>กรอกสิ่งที่ต้องปรับปรุง</a:t>
          </a:r>
          <a:endParaRPr lang="en-US" sz="2400">
            <a:solidFill>
              <a:schemeClr val="tx1"/>
            </a:solidFill>
          </a:endParaRPr>
        </a:p>
      </xdr:txBody>
    </xdr:sp>
    <xdr:clientData/>
  </xdr:twoCellAnchor>
  <xdr:twoCellAnchor>
    <xdr:from>
      <xdr:col>18</xdr:col>
      <xdr:colOff>561730</xdr:colOff>
      <xdr:row>81</xdr:row>
      <xdr:rowOff>195384</xdr:rowOff>
    </xdr:from>
    <xdr:to>
      <xdr:col>23</xdr:col>
      <xdr:colOff>561730</xdr:colOff>
      <xdr:row>82</xdr:row>
      <xdr:rowOff>732692</xdr:rowOff>
    </xdr:to>
    <xdr:sp macro="" textlink="">
      <xdr:nvSpPr>
        <xdr:cNvPr id="128" name="Rectangle 127">
          <a:extLst>
            <a:ext uri="{FF2B5EF4-FFF2-40B4-BE49-F238E27FC236}">
              <a16:creationId xmlns:a16="http://schemas.microsoft.com/office/drawing/2014/main" id="{8C929785-86D7-41A5-AACE-1945D9FAC64B}"/>
            </a:ext>
          </a:extLst>
        </xdr:cNvPr>
        <xdr:cNvSpPr/>
      </xdr:nvSpPr>
      <xdr:spPr>
        <a:xfrm>
          <a:off x="18610384" y="31676730"/>
          <a:ext cx="4396154" cy="1416539"/>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2400">
              <a:solidFill>
                <a:schemeClr val="tx1"/>
              </a:solidFill>
            </a:rPr>
            <a:t>แปลงจุดแข็ง และ สิ่งที่ต้องปรับปรุงมาเป็นหัวข้อที่ต้องการอบรมหรือพัฒนาเพิ่มเติม</a:t>
          </a:r>
          <a:endParaRPr lang="en-US" sz="2400">
            <a:solidFill>
              <a:schemeClr val="tx1"/>
            </a:solidFill>
          </a:endParaRPr>
        </a:p>
      </xdr:txBody>
    </xdr:sp>
    <xdr:clientData/>
  </xdr:twoCellAnchor>
  <xdr:twoCellAnchor>
    <xdr:from>
      <xdr:col>24</xdr:col>
      <xdr:colOff>244231</xdr:colOff>
      <xdr:row>81</xdr:row>
      <xdr:rowOff>170962</xdr:rowOff>
    </xdr:from>
    <xdr:to>
      <xdr:col>28</xdr:col>
      <xdr:colOff>610577</xdr:colOff>
      <xdr:row>82</xdr:row>
      <xdr:rowOff>708269</xdr:rowOff>
    </xdr:to>
    <xdr:sp macro="" textlink="">
      <xdr:nvSpPr>
        <xdr:cNvPr id="129" name="Rectangle 128">
          <a:extLst>
            <a:ext uri="{FF2B5EF4-FFF2-40B4-BE49-F238E27FC236}">
              <a16:creationId xmlns:a16="http://schemas.microsoft.com/office/drawing/2014/main" id="{16D966A7-0C60-47B9-B92E-C7E942BBFB1E}"/>
            </a:ext>
          </a:extLst>
        </xdr:cNvPr>
        <xdr:cNvSpPr/>
      </xdr:nvSpPr>
      <xdr:spPr>
        <a:xfrm>
          <a:off x="23568269" y="31652308"/>
          <a:ext cx="3883270" cy="1416538"/>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2400">
              <a:solidFill>
                <a:schemeClr val="tx1"/>
              </a:solidFill>
            </a:rPr>
            <a:t>อยากอบรมระดับใด </a:t>
          </a:r>
          <a:r>
            <a:rPr lang="en-US" sz="2400">
              <a:solidFill>
                <a:schemeClr val="tx1"/>
              </a:solidFill>
            </a:rPr>
            <a:t>Basic, Intermediate, </a:t>
          </a:r>
          <a:r>
            <a:rPr lang="th-TH" sz="2400">
              <a:solidFill>
                <a:schemeClr val="tx1"/>
              </a:solidFill>
            </a:rPr>
            <a:t>หรือ </a:t>
          </a:r>
          <a:r>
            <a:rPr lang="en-US" sz="2400">
              <a:solidFill>
                <a:schemeClr val="tx1"/>
              </a:solidFill>
            </a:rPr>
            <a:t>Advance</a:t>
          </a:r>
        </a:p>
      </xdr:txBody>
    </xdr:sp>
    <xdr:clientData/>
  </xdr:twoCellAnchor>
  <xdr:twoCellAnchor>
    <xdr:from>
      <xdr:col>29</xdr:col>
      <xdr:colOff>757116</xdr:colOff>
      <xdr:row>81</xdr:row>
      <xdr:rowOff>244231</xdr:rowOff>
    </xdr:from>
    <xdr:to>
      <xdr:col>37</xdr:col>
      <xdr:colOff>244231</xdr:colOff>
      <xdr:row>82</xdr:row>
      <xdr:rowOff>537307</xdr:rowOff>
    </xdr:to>
    <xdr:sp macro="" textlink="">
      <xdr:nvSpPr>
        <xdr:cNvPr id="130" name="Rectangle 129">
          <a:extLst>
            <a:ext uri="{FF2B5EF4-FFF2-40B4-BE49-F238E27FC236}">
              <a16:creationId xmlns:a16="http://schemas.microsoft.com/office/drawing/2014/main" id="{1846A133-EC2D-4C79-BDD2-B88C985BA637}"/>
            </a:ext>
          </a:extLst>
        </xdr:cNvPr>
        <xdr:cNvSpPr/>
      </xdr:nvSpPr>
      <xdr:spPr>
        <a:xfrm>
          <a:off x="28477308" y="31725577"/>
          <a:ext cx="6520961" cy="1172307"/>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2400">
              <a:solidFill>
                <a:schemeClr val="tx1"/>
              </a:solidFill>
            </a:rPr>
            <a:t>อยากจะขอใช้วิธีการใดในการอบรมเพื่อเพิ่มทักษะ</a:t>
          </a:r>
          <a:r>
            <a:rPr lang="th-TH" sz="2400" baseline="0">
              <a:solidFill>
                <a:schemeClr val="tx1"/>
              </a:solidFill>
            </a:rPr>
            <a:t> และ ความรู้</a:t>
          </a:r>
          <a:endParaRPr lang="en-US" sz="2400">
            <a:solidFill>
              <a:schemeClr val="tx1"/>
            </a:solidFill>
          </a:endParaRPr>
        </a:p>
      </xdr:txBody>
    </xdr:sp>
    <xdr:clientData/>
  </xdr:twoCellAnchor>
  <xdr:twoCellAnchor>
    <xdr:from>
      <xdr:col>42</xdr:col>
      <xdr:colOff>635000</xdr:colOff>
      <xdr:row>81</xdr:row>
      <xdr:rowOff>268655</xdr:rowOff>
    </xdr:from>
    <xdr:to>
      <xdr:col>45</xdr:col>
      <xdr:colOff>488461</xdr:colOff>
      <xdr:row>82</xdr:row>
      <xdr:rowOff>439616</xdr:rowOff>
    </xdr:to>
    <xdr:sp macro="" textlink="">
      <xdr:nvSpPr>
        <xdr:cNvPr id="135" name="Rectangle 134">
          <a:extLst>
            <a:ext uri="{FF2B5EF4-FFF2-40B4-BE49-F238E27FC236}">
              <a16:creationId xmlns:a16="http://schemas.microsoft.com/office/drawing/2014/main" id="{AC48045C-601A-45A9-8122-878DCEE63A77}"/>
            </a:ext>
          </a:extLst>
        </xdr:cNvPr>
        <xdr:cNvSpPr/>
      </xdr:nvSpPr>
      <xdr:spPr>
        <a:xfrm>
          <a:off x="39785192" y="31750001"/>
          <a:ext cx="2491154" cy="1050192"/>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2400">
              <a:solidFill>
                <a:schemeClr val="tx1"/>
              </a:solidFill>
            </a:rPr>
            <a:t>เริ่มต้น</a:t>
          </a:r>
          <a:r>
            <a:rPr lang="en-US" sz="2400">
              <a:solidFill>
                <a:schemeClr val="tx1"/>
              </a:solidFill>
            </a:rPr>
            <a:t>-</a:t>
          </a:r>
          <a:r>
            <a:rPr lang="th-TH" sz="2400" baseline="0">
              <a:solidFill>
                <a:schemeClr val="tx1"/>
              </a:solidFill>
            </a:rPr>
            <a:t>สิ้นสุด</a:t>
          </a:r>
          <a:endParaRPr lang="en-US" sz="2400">
            <a:solidFill>
              <a:schemeClr val="tx1"/>
            </a:solidFill>
          </a:endParaRPr>
        </a:p>
      </xdr:txBody>
    </xdr:sp>
    <xdr:clientData/>
  </xdr:twoCellAnchor>
  <xdr:twoCellAnchor>
    <xdr:from>
      <xdr:col>38</xdr:col>
      <xdr:colOff>488462</xdr:colOff>
      <xdr:row>81</xdr:row>
      <xdr:rowOff>195385</xdr:rowOff>
    </xdr:from>
    <xdr:to>
      <xdr:col>41</xdr:col>
      <xdr:colOff>341923</xdr:colOff>
      <xdr:row>82</xdr:row>
      <xdr:rowOff>537307</xdr:rowOff>
    </xdr:to>
    <xdr:sp macro="" textlink="">
      <xdr:nvSpPr>
        <xdr:cNvPr id="136" name="Rectangle 135">
          <a:extLst>
            <a:ext uri="{FF2B5EF4-FFF2-40B4-BE49-F238E27FC236}">
              <a16:creationId xmlns:a16="http://schemas.microsoft.com/office/drawing/2014/main" id="{EFCA8555-9B67-44E2-9553-265DAFA7553D}"/>
            </a:ext>
          </a:extLst>
        </xdr:cNvPr>
        <xdr:cNvSpPr/>
      </xdr:nvSpPr>
      <xdr:spPr>
        <a:xfrm>
          <a:off x="36121731" y="31676731"/>
          <a:ext cx="2491154" cy="1221153"/>
        </a:xfrm>
        <a:prstGeom prst="rect">
          <a:avLst/>
        </a:prstGeom>
        <a:solidFill>
          <a:srgbClr val="FFFF99"/>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2400">
              <a:solidFill>
                <a:schemeClr val="tx1"/>
              </a:solidFill>
            </a:rPr>
            <a:t>ผู้รับผิดชอบในการอบรม</a:t>
          </a:r>
          <a:endParaRPr lang="en-US" sz="2400">
            <a:solidFill>
              <a:schemeClr val="tx1"/>
            </a:solidFill>
          </a:endParaRPr>
        </a:p>
      </xdr:txBody>
    </xdr:sp>
    <xdr:clientData/>
  </xdr:twoCellAnchor>
  <xdr:twoCellAnchor>
    <xdr:from>
      <xdr:col>6</xdr:col>
      <xdr:colOff>897936</xdr:colOff>
      <xdr:row>65</xdr:row>
      <xdr:rowOff>63426</xdr:rowOff>
    </xdr:from>
    <xdr:to>
      <xdr:col>8</xdr:col>
      <xdr:colOff>10053</xdr:colOff>
      <xdr:row>67</xdr:row>
      <xdr:rowOff>208130</xdr:rowOff>
    </xdr:to>
    <xdr:sp macro="" textlink="">
      <xdr:nvSpPr>
        <xdr:cNvPr id="138" name="TextBox 137">
          <a:extLst>
            <a:ext uri="{FF2B5EF4-FFF2-40B4-BE49-F238E27FC236}">
              <a16:creationId xmlns:a16="http://schemas.microsoft.com/office/drawing/2014/main" id="{03FC8BD2-7176-4A49-B908-55711F636567}"/>
            </a:ext>
          </a:extLst>
        </xdr:cNvPr>
        <xdr:cNvSpPr txBox="1"/>
      </xdr:nvSpPr>
      <xdr:spPr>
        <a:xfrm flipH="1">
          <a:off x="7711974" y="23656118"/>
          <a:ext cx="1212502" cy="926243"/>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a:solidFill>
                <a:srgbClr val="FFFF00"/>
              </a:solidFill>
            </a:rPr>
            <a:t>2.5</a:t>
          </a:r>
        </a:p>
      </xdr:txBody>
    </xdr:sp>
    <xdr:clientData/>
  </xdr:twoCellAnchor>
  <xdr:twoCellAnchor>
    <xdr:from>
      <xdr:col>1</xdr:col>
      <xdr:colOff>81628</xdr:colOff>
      <xdr:row>79</xdr:row>
      <xdr:rowOff>239786</xdr:rowOff>
    </xdr:from>
    <xdr:to>
      <xdr:col>2</xdr:col>
      <xdr:colOff>72976</xdr:colOff>
      <xdr:row>80</xdr:row>
      <xdr:rowOff>286796</xdr:rowOff>
    </xdr:to>
    <xdr:sp macro="" textlink="">
      <xdr:nvSpPr>
        <xdr:cNvPr id="119" name="TextBox 118">
          <a:extLst>
            <a:ext uri="{FF2B5EF4-FFF2-40B4-BE49-F238E27FC236}">
              <a16:creationId xmlns:a16="http://schemas.microsoft.com/office/drawing/2014/main" id="{0497D3C6-3E00-4190-841B-DE701A3642CB}"/>
            </a:ext>
          </a:extLst>
        </xdr:cNvPr>
        <xdr:cNvSpPr txBox="1"/>
      </xdr:nvSpPr>
      <xdr:spPr>
        <a:xfrm flipH="1">
          <a:off x="1302782" y="29962671"/>
          <a:ext cx="1212502" cy="926240"/>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2.3</a:t>
          </a:r>
        </a:p>
      </xdr:txBody>
    </xdr:sp>
    <xdr:clientData/>
  </xdr:twoCellAnchor>
  <xdr:twoCellAnchor>
    <xdr:from>
      <xdr:col>8</xdr:col>
      <xdr:colOff>635000</xdr:colOff>
      <xdr:row>47</xdr:row>
      <xdr:rowOff>219808</xdr:rowOff>
    </xdr:from>
    <xdr:to>
      <xdr:col>31</xdr:col>
      <xdr:colOff>170961</xdr:colOff>
      <xdr:row>79</xdr:row>
      <xdr:rowOff>683846</xdr:rowOff>
    </xdr:to>
    <xdr:cxnSp macro="">
      <xdr:nvCxnSpPr>
        <xdr:cNvPr id="142" name="Connector: Curved 141">
          <a:extLst>
            <a:ext uri="{FF2B5EF4-FFF2-40B4-BE49-F238E27FC236}">
              <a16:creationId xmlns:a16="http://schemas.microsoft.com/office/drawing/2014/main" id="{0749CAA9-0B31-4CCD-8DDC-8F7107A4C657}"/>
            </a:ext>
          </a:extLst>
        </xdr:cNvPr>
        <xdr:cNvCxnSpPr>
          <a:cxnSpLocks/>
        </xdr:cNvCxnSpPr>
      </xdr:nvCxnSpPr>
      <xdr:spPr>
        <a:xfrm rot="10800000" flipV="1">
          <a:off x="9549423" y="18341731"/>
          <a:ext cx="20100192" cy="12065000"/>
        </a:xfrm>
        <a:prstGeom prst="curvedConnector3">
          <a:avLst>
            <a:gd name="adj1" fmla="val 72479"/>
          </a:avLst>
        </a:prstGeom>
        <a:ln w="117475">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244230</xdr:colOff>
      <xdr:row>79</xdr:row>
      <xdr:rowOff>273120</xdr:rowOff>
    </xdr:from>
    <xdr:to>
      <xdr:col>8</xdr:col>
      <xdr:colOff>610576</xdr:colOff>
      <xdr:row>81</xdr:row>
      <xdr:rowOff>444500</xdr:rowOff>
    </xdr:to>
    <xdr:sp macro="" textlink="">
      <xdr:nvSpPr>
        <xdr:cNvPr id="151" name="Rectangle 150">
          <a:extLst>
            <a:ext uri="{FF2B5EF4-FFF2-40B4-BE49-F238E27FC236}">
              <a16:creationId xmlns:a16="http://schemas.microsoft.com/office/drawing/2014/main" id="{8DB2FB13-9009-4D69-A66D-A2E192E83201}"/>
            </a:ext>
          </a:extLst>
        </xdr:cNvPr>
        <xdr:cNvSpPr/>
      </xdr:nvSpPr>
      <xdr:spPr>
        <a:xfrm>
          <a:off x="2657230" y="30483245"/>
          <a:ext cx="6811596" cy="1949380"/>
        </a:xfrm>
        <a:prstGeom prst="rect">
          <a:avLst/>
        </a:prstGeom>
        <a:solidFill>
          <a:srgbClr val="FFFF00"/>
        </a:solidFill>
        <a:ln w="381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2800">
              <a:solidFill>
                <a:schemeClr val="tx1"/>
              </a:solidFill>
            </a:rPr>
            <a:t>กรอกเฉพาะการประเมินผลครึงปีหลังเท่านั้น</a:t>
          </a:r>
          <a:endParaRPr lang="en-US" sz="2800">
            <a:solidFill>
              <a:schemeClr val="tx1"/>
            </a:solidFill>
          </a:endParaRPr>
        </a:p>
        <a:p>
          <a:pPr algn="ctr"/>
          <a:r>
            <a:rPr lang="th-TH" sz="2800">
              <a:solidFill>
                <a:schemeClr val="tx1"/>
              </a:solidFill>
            </a:rPr>
            <a:t>ในช่วงเดือน</a:t>
          </a:r>
          <a:r>
            <a:rPr lang="th-TH" sz="2800" baseline="0">
              <a:solidFill>
                <a:schemeClr val="tx1"/>
              </a:solidFill>
            </a:rPr>
            <a:t> พฤศจิกายน</a:t>
          </a:r>
          <a:r>
            <a:rPr lang="en-US" sz="2800" baseline="0">
              <a:solidFill>
                <a:schemeClr val="tx1"/>
              </a:solidFill>
            </a:rPr>
            <a:t> </a:t>
          </a:r>
          <a:endParaRPr lang="th-TH" sz="2800" baseline="0">
            <a:solidFill>
              <a:schemeClr val="tx1"/>
            </a:solidFill>
          </a:endParaRPr>
        </a:p>
        <a:p>
          <a:pPr algn="ctr"/>
          <a:r>
            <a:rPr lang="en-US" sz="2800" baseline="0">
              <a:solidFill>
                <a:schemeClr val="tx1"/>
              </a:solidFill>
            </a:rPr>
            <a:t>(</a:t>
          </a:r>
          <a:r>
            <a:rPr lang="th-TH" sz="2800" baseline="0">
              <a:solidFill>
                <a:schemeClr val="tx1"/>
              </a:solidFill>
            </a:rPr>
            <a:t>พนักงานผู้ถูกประเมินเป็นผู้กรอก)</a:t>
          </a:r>
          <a:endParaRPr lang="en-US" sz="2800">
            <a:solidFill>
              <a:schemeClr val="tx1"/>
            </a:solidFill>
          </a:endParaRPr>
        </a:p>
      </xdr:txBody>
    </xdr:sp>
    <xdr:clientData/>
  </xdr:twoCellAnchor>
  <xdr:twoCellAnchor>
    <xdr:from>
      <xdr:col>42</xdr:col>
      <xdr:colOff>32782</xdr:colOff>
      <xdr:row>7</xdr:row>
      <xdr:rowOff>337477</xdr:rowOff>
    </xdr:from>
    <xdr:to>
      <xdr:col>43</xdr:col>
      <xdr:colOff>366053</xdr:colOff>
      <xdr:row>10</xdr:row>
      <xdr:rowOff>164680</xdr:rowOff>
    </xdr:to>
    <xdr:sp macro="" textlink="">
      <xdr:nvSpPr>
        <xdr:cNvPr id="163" name="TextBox 162">
          <a:extLst>
            <a:ext uri="{FF2B5EF4-FFF2-40B4-BE49-F238E27FC236}">
              <a16:creationId xmlns:a16="http://schemas.microsoft.com/office/drawing/2014/main" id="{34BCDCCC-FBAF-4B63-A21A-1DE806D33067}"/>
            </a:ext>
          </a:extLst>
        </xdr:cNvPr>
        <xdr:cNvSpPr txBox="1"/>
      </xdr:nvSpPr>
      <xdr:spPr>
        <a:xfrm flipH="1">
          <a:off x="39182974" y="3048439"/>
          <a:ext cx="1212502" cy="926241"/>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rgbClr val="FFFF00"/>
              </a:solidFill>
            </a:rPr>
            <a:t>2.5</a:t>
          </a:r>
        </a:p>
      </xdr:txBody>
    </xdr:sp>
    <xdr:clientData/>
  </xdr:twoCellAnchor>
  <xdr:twoCellAnchor>
    <xdr:from>
      <xdr:col>46</xdr:col>
      <xdr:colOff>610577</xdr:colOff>
      <xdr:row>10</xdr:row>
      <xdr:rowOff>244231</xdr:rowOff>
    </xdr:from>
    <xdr:to>
      <xdr:col>47</xdr:col>
      <xdr:colOff>699617</xdr:colOff>
      <xdr:row>13</xdr:row>
      <xdr:rowOff>217972</xdr:rowOff>
    </xdr:to>
    <xdr:sp macro="" textlink="">
      <xdr:nvSpPr>
        <xdr:cNvPr id="66" name="TextBox 65">
          <a:extLst>
            <a:ext uri="{FF2B5EF4-FFF2-40B4-BE49-F238E27FC236}">
              <a16:creationId xmlns:a16="http://schemas.microsoft.com/office/drawing/2014/main" id="{AD1E04FC-2F12-4B82-9E54-B70974FF55F3}"/>
            </a:ext>
          </a:extLst>
        </xdr:cNvPr>
        <xdr:cNvSpPr txBox="1"/>
      </xdr:nvSpPr>
      <xdr:spPr>
        <a:xfrm flipH="1">
          <a:off x="43277692" y="4054231"/>
          <a:ext cx="1212502" cy="926241"/>
        </a:xfrm>
        <a:prstGeom prst="rect">
          <a:avLst/>
        </a:prstGeom>
        <a:solidFill>
          <a:srgbClr val="FF3399"/>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1.5</a:t>
          </a:r>
        </a:p>
      </xdr:txBody>
    </xdr:sp>
    <xdr:clientData/>
  </xdr:twoCellAnchor>
  <xdr:twoCellAnchor>
    <xdr:from>
      <xdr:col>46</xdr:col>
      <xdr:colOff>618936</xdr:colOff>
      <xdr:row>15</xdr:row>
      <xdr:rowOff>117670</xdr:rowOff>
    </xdr:from>
    <xdr:to>
      <xdr:col>47</xdr:col>
      <xdr:colOff>707976</xdr:colOff>
      <xdr:row>16</xdr:row>
      <xdr:rowOff>286796</xdr:rowOff>
    </xdr:to>
    <xdr:sp macro="" textlink="">
      <xdr:nvSpPr>
        <xdr:cNvPr id="67" name="TextBox 66">
          <a:extLst>
            <a:ext uri="{FF2B5EF4-FFF2-40B4-BE49-F238E27FC236}">
              <a16:creationId xmlns:a16="http://schemas.microsoft.com/office/drawing/2014/main" id="{7E7CCA22-70F1-4432-8672-C51201A79AAB}"/>
            </a:ext>
          </a:extLst>
        </xdr:cNvPr>
        <xdr:cNvSpPr txBox="1"/>
      </xdr:nvSpPr>
      <xdr:spPr>
        <a:xfrm flipH="1">
          <a:off x="43286051" y="6394401"/>
          <a:ext cx="1212502" cy="926241"/>
        </a:xfrm>
        <a:prstGeom prst="rect">
          <a:avLst/>
        </a:prstGeom>
        <a:solidFill>
          <a:srgbClr val="00B050"/>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rgbClr val="FFFF00"/>
              </a:solidFill>
            </a:rPr>
            <a:t>2.5</a:t>
          </a:r>
        </a:p>
      </xdr:txBody>
    </xdr:sp>
    <xdr:clientData/>
  </xdr:twoCellAnchor>
  <xdr:twoCellAnchor>
    <xdr:from>
      <xdr:col>43</xdr:col>
      <xdr:colOff>406542</xdr:colOff>
      <xdr:row>3</xdr:row>
      <xdr:rowOff>316583</xdr:rowOff>
    </xdr:from>
    <xdr:to>
      <xdr:col>47</xdr:col>
      <xdr:colOff>93367</xdr:colOff>
      <xdr:row>10</xdr:row>
      <xdr:rowOff>244231</xdr:rowOff>
    </xdr:to>
    <xdr:cxnSp macro="">
      <xdr:nvCxnSpPr>
        <xdr:cNvPr id="71" name="Connector: Curved 70">
          <a:extLst>
            <a:ext uri="{FF2B5EF4-FFF2-40B4-BE49-F238E27FC236}">
              <a16:creationId xmlns:a16="http://schemas.microsoft.com/office/drawing/2014/main" id="{9C59B569-22CF-4C70-8B96-DC75A22AAA83}"/>
            </a:ext>
          </a:extLst>
        </xdr:cNvPr>
        <xdr:cNvCxnSpPr>
          <a:stCxn id="66" idx="0"/>
          <a:endCxn id="121" idx="1"/>
        </xdr:cNvCxnSpPr>
      </xdr:nvCxnSpPr>
      <xdr:spPr>
        <a:xfrm rot="16200000" flipV="1">
          <a:off x="40913919" y="1084206"/>
          <a:ext cx="2492071" cy="3447979"/>
        </a:xfrm>
        <a:prstGeom prst="curvedConnector2">
          <a:avLst/>
        </a:prstGeom>
        <a:ln w="117475">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366054</xdr:colOff>
      <xdr:row>9</xdr:row>
      <xdr:rowOff>67906</xdr:rowOff>
    </xdr:from>
    <xdr:to>
      <xdr:col>46</xdr:col>
      <xdr:colOff>618937</xdr:colOff>
      <xdr:row>15</xdr:row>
      <xdr:rowOff>580791</xdr:rowOff>
    </xdr:to>
    <xdr:cxnSp macro="">
      <xdr:nvCxnSpPr>
        <xdr:cNvPr id="78" name="Connector: Curved 77">
          <a:extLst>
            <a:ext uri="{FF2B5EF4-FFF2-40B4-BE49-F238E27FC236}">
              <a16:creationId xmlns:a16="http://schemas.microsoft.com/office/drawing/2014/main" id="{99A14545-CC15-4D24-AA21-76925919935C}"/>
            </a:ext>
          </a:extLst>
        </xdr:cNvPr>
        <xdr:cNvCxnSpPr>
          <a:stCxn id="67" idx="3"/>
          <a:endCxn id="163" idx="1"/>
        </xdr:cNvCxnSpPr>
      </xdr:nvCxnSpPr>
      <xdr:spPr>
        <a:xfrm rot="10800000">
          <a:off x="40395477" y="3511560"/>
          <a:ext cx="2890575" cy="3345962"/>
        </a:xfrm>
        <a:prstGeom prst="curvedConnector3">
          <a:avLst>
            <a:gd name="adj1" fmla="val 50000"/>
          </a:avLst>
        </a:prstGeom>
        <a:ln w="117475">
          <a:solidFill>
            <a:schemeClr val="tx1"/>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757116</xdr:colOff>
      <xdr:row>67</xdr:row>
      <xdr:rowOff>244231</xdr:rowOff>
    </xdr:from>
    <xdr:to>
      <xdr:col>18</xdr:col>
      <xdr:colOff>170962</xdr:colOff>
      <xdr:row>70</xdr:row>
      <xdr:rowOff>170962</xdr:rowOff>
    </xdr:to>
    <xdr:sp macro="" textlink="">
      <xdr:nvSpPr>
        <xdr:cNvPr id="79" name="Rectangle 78">
          <a:extLst>
            <a:ext uri="{FF2B5EF4-FFF2-40B4-BE49-F238E27FC236}">
              <a16:creationId xmlns:a16="http://schemas.microsoft.com/office/drawing/2014/main" id="{5CD8EF6A-45C4-4294-9782-630CF90616D6}"/>
            </a:ext>
          </a:extLst>
        </xdr:cNvPr>
        <xdr:cNvSpPr/>
      </xdr:nvSpPr>
      <xdr:spPr>
        <a:xfrm>
          <a:off x="17047308" y="24618462"/>
          <a:ext cx="1172308" cy="1099038"/>
        </a:xfrm>
        <a:prstGeom prst="rect">
          <a:avLst/>
        </a:prstGeom>
        <a:noFill/>
        <a:ln w="114300">
          <a:solidFill>
            <a:schemeClr val="bg1">
              <a:lumMod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solidFill>
              <a:schemeClr val="tx1"/>
            </a:solidFill>
          </a:endParaRPr>
        </a:p>
      </xdr:txBody>
    </xdr:sp>
    <xdr:clientData/>
  </xdr:twoCellAnchor>
  <xdr:twoCellAnchor>
    <xdr:from>
      <xdr:col>34</xdr:col>
      <xdr:colOff>488462</xdr:colOff>
      <xdr:row>68</xdr:row>
      <xdr:rowOff>48847</xdr:rowOff>
    </xdr:from>
    <xdr:to>
      <xdr:col>36</xdr:col>
      <xdr:colOff>341923</xdr:colOff>
      <xdr:row>69</xdr:row>
      <xdr:rowOff>366346</xdr:rowOff>
    </xdr:to>
    <xdr:sp macro="" textlink="">
      <xdr:nvSpPr>
        <xdr:cNvPr id="80" name="Rectangle 79">
          <a:extLst>
            <a:ext uri="{FF2B5EF4-FFF2-40B4-BE49-F238E27FC236}">
              <a16:creationId xmlns:a16="http://schemas.microsoft.com/office/drawing/2014/main" id="{E40AB84D-CE66-4F90-8328-C814DBDDD7AB}"/>
            </a:ext>
          </a:extLst>
        </xdr:cNvPr>
        <xdr:cNvSpPr/>
      </xdr:nvSpPr>
      <xdr:spPr>
        <a:xfrm>
          <a:off x="32604808" y="24813847"/>
          <a:ext cx="1611923" cy="708268"/>
        </a:xfrm>
        <a:prstGeom prst="rect">
          <a:avLst/>
        </a:prstGeom>
        <a:noFill/>
        <a:ln w="114300">
          <a:solidFill>
            <a:schemeClr val="bg1">
              <a:lumMod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solidFill>
              <a:schemeClr val="tx1"/>
            </a:solidFill>
          </a:endParaRPr>
        </a:p>
      </xdr:txBody>
    </xdr:sp>
    <xdr:clientData/>
  </xdr:twoCellAnchor>
  <xdr:twoCellAnchor>
    <xdr:from>
      <xdr:col>17</xdr:col>
      <xdr:colOff>279820</xdr:colOff>
      <xdr:row>72</xdr:row>
      <xdr:rowOff>683846</xdr:rowOff>
    </xdr:from>
    <xdr:to>
      <xdr:col>21</xdr:col>
      <xdr:colOff>824105</xdr:colOff>
      <xdr:row>75</xdr:row>
      <xdr:rowOff>334868</xdr:rowOff>
    </xdr:to>
    <xdr:sp macro="" textlink="">
      <xdr:nvSpPr>
        <xdr:cNvPr id="81" name="Rectangle 80">
          <a:extLst>
            <a:ext uri="{FF2B5EF4-FFF2-40B4-BE49-F238E27FC236}">
              <a16:creationId xmlns:a16="http://schemas.microsoft.com/office/drawing/2014/main" id="{AADA2841-2221-471E-85A3-C27FF7075500}"/>
            </a:ext>
          </a:extLst>
        </xdr:cNvPr>
        <xdr:cNvSpPr/>
      </xdr:nvSpPr>
      <xdr:spPr>
        <a:xfrm>
          <a:off x="17449243" y="27011923"/>
          <a:ext cx="4061208" cy="1482753"/>
        </a:xfrm>
        <a:prstGeom prst="rect">
          <a:avLst/>
        </a:prstGeom>
        <a:solidFill>
          <a:schemeClr val="bg1">
            <a:lumMod val="75000"/>
          </a:schemeClr>
        </a:solidFill>
        <a:ln w="38100">
          <a:solidFill>
            <a:schemeClr val="bg1">
              <a:lumMod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2400" b="1" u="sng">
              <a:solidFill>
                <a:schemeClr val="tx1"/>
              </a:solidFill>
            </a:rPr>
            <a:t>คะแนนจาก</a:t>
          </a:r>
          <a:r>
            <a:rPr lang="th-TH" sz="2400" b="1" u="sng" baseline="0">
              <a:solidFill>
                <a:schemeClr val="tx1"/>
              </a:solidFill>
            </a:rPr>
            <a:t> </a:t>
          </a:r>
          <a:r>
            <a:rPr lang="en-US" sz="2400" b="1" u="sng" baseline="0">
              <a:solidFill>
                <a:schemeClr val="tx1"/>
              </a:solidFill>
            </a:rPr>
            <a:t>MBO</a:t>
          </a:r>
          <a:endParaRPr lang="th-TH" sz="2400" b="1" u="sng">
            <a:solidFill>
              <a:schemeClr val="tx1"/>
            </a:solidFill>
          </a:endParaRPr>
        </a:p>
        <a:p>
          <a:pPr algn="ctr"/>
          <a:r>
            <a:rPr lang="th-TH" sz="2400">
              <a:solidFill>
                <a:schemeClr val="tx1"/>
              </a:solidFill>
            </a:rPr>
            <a:t>ยกมาจากหน้า</a:t>
          </a:r>
          <a:r>
            <a:rPr lang="th-TH" sz="2400" baseline="0">
              <a:solidFill>
                <a:schemeClr val="tx1"/>
              </a:solidFill>
            </a:rPr>
            <a:t> </a:t>
          </a:r>
          <a:r>
            <a:rPr lang="en-US" sz="2400" baseline="0">
              <a:solidFill>
                <a:schemeClr val="tx1"/>
              </a:solidFill>
            </a:rPr>
            <a:t>MBO Form</a:t>
          </a:r>
          <a:endParaRPr lang="en-US" sz="2400">
            <a:solidFill>
              <a:schemeClr val="tx1"/>
            </a:solidFill>
          </a:endParaRPr>
        </a:p>
      </xdr:txBody>
    </xdr:sp>
    <xdr:clientData/>
  </xdr:twoCellAnchor>
  <xdr:twoCellAnchor>
    <xdr:from>
      <xdr:col>18</xdr:col>
      <xdr:colOff>170963</xdr:colOff>
      <xdr:row>69</xdr:row>
      <xdr:rowOff>12212</xdr:rowOff>
    </xdr:from>
    <xdr:to>
      <xdr:col>19</xdr:col>
      <xdr:colOff>439618</xdr:colOff>
      <xdr:row>72</xdr:row>
      <xdr:rowOff>610577</xdr:rowOff>
    </xdr:to>
    <xdr:cxnSp macro="">
      <xdr:nvCxnSpPr>
        <xdr:cNvPr id="82" name="Connector: Curved 81">
          <a:extLst>
            <a:ext uri="{FF2B5EF4-FFF2-40B4-BE49-F238E27FC236}">
              <a16:creationId xmlns:a16="http://schemas.microsoft.com/office/drawing/2014/main" id="{C013C30B-F7FD-4A97-9680-A65C059C0652}"/>
            </a:ext>
          </a:extLst>
        </xdr:cNvPr>
        <xdr:cNvCxnSpPr>
          <a:endCxn id="79" idx="3"/>
        </xdr:cNvCxnSpPr>
      </xdr:nvCxnSpPr>
      <xdr:spPr>
        <a:xfrm rot="16200000" flipV="1">
          <a:off x="17908223" y="25479375"/>
          <a:ext cx="1770673" cy="1147886"/>
        </a:xfrm>
        <a:prstGeom prst="curvedConnector2">
          <a:avLst/>
        </a:prstGeom>
        <a:ln w="114300">
          <a:solidFill>
            <a:schemeClr val="bg1">
              <a:lumMod val="50000"/>
            </a:schemeClr>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824105</xdr:colOff>
      <xdr:row>69</xdr:row>
      <xdr:rowOff>366346</xdr:rowOff>
    </xdr:from>
    <xdr:to>
      <xdr:col>35</xdr:col>
      <xdr:colOff>415193</xdr:colOff>
      <xdr:row>73</xdr:row>
      <xdr:rowOff>375031</xdr:rowOff>
    </xdr:to>
    <xdr:cxnSp macro="">
      <xdr:nvCxnSpPr>
        <xdr:cNvPr id="83" name="Connector: Curved 82">
          <a:extLst>
            <a:ext uri="{FF2B5EF4-FFF2-40B4-BE49-F238E27FC236}">
              <a16:creationId xmlns:a16="http://schemas.microsoft.com/office/drawing/2014/main" id="{CC67595A-DEFA-4477-961C-0AFFC0D7EC8F}"/>
            </a:ext>
          </a:extLst>
        </xdr:cNvPr>
        <xdr:cNvCxnSpPr>
          <a:stCxn id="81" idx="3"/>
          <a:endCxn id="80" idx="2"/>
        </xdr:cNvCxnSpPr>
      </xdr:nvCxnSpPr>
      <xdr:spPr>
        <a:xfrm flipV="1">
          <a:off x="21510451" y="25522115"/>
          <a:ext cx="11900319" cy="2231185"/>
        </a:xfrm>
        <a:prstGeom prst="curvedConnector2">
          <a:avLst/>
        </a:prstGeom>
        <a:ln w="114300">
          <a:solidFill>
            <a:schemeClr val="bg1">
              <a:lumMod val="50000"/>
            </a:schemeClr>
          </a:solidFill>
          <a:prstDash val="sysDash"/>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18317-960E-498C-B4A6-3152AE7CA794}">
  <sheetPr codeName="Sheet1">
    <tabColor theme="7" tint="-0.249977111117893"/>
    <pageSetUpPr fitToPage="1"/>
  </sheetPr>
  <dimension ref="A1:AY91"/>
  <sheetViews>
    <sheetView showGridLines="0" zoomScale="40" zoomScaleNormal="40" workbookViewId="0">
      <selection activeCell="G14" sqref="G14:AH15"/>
    </sheetView>
  </sheetViews>
  <sheetFormatPr defaultColWidth="9.26953125" defaultRowHeight="28.8"/>
  <cols>
    <col min="1" max="2" width="14.7265625" style="4" customWidth="1"/>
    <col min="3" max="5" width="12.7265625" style="4" customWidth="1"/>
    <col min="6" max="6" width="14.7265625" style="4" customWidth="1"/>
    <col min="7" max="10" width="12.7265625" style="4" customWidth="1"/>
    <col min="11" max="40" width="10.7265625" style="4" customWidth="1"/>
    <col min="41" max="46" width="12.7265625" style="4" customWidth="1"/>
    <col min="47" max="51" width="13.7265625" style="4" customWidth="1"/>
    <col min="52" max="76" width="4.7265625" style="4" customWidth="1"/>
    <col min="77" max="16384" width="9.26953125" style="4"/>
  </cols>
  <sheetData>
    <row r="1" spans="1:51" s="3" customFormat="1" ht="34.950000000000003" customHeight="1">
      <c r="A1" s="244" t="s">
        <v>162</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6"/>
      <c r="AU1" s="242" t="s">
        <v>34</v>
      </c>
      <c r="AV1" s="242" t="s">
        <v>358</v>
      </c>
      <c r="AW1" s="228" t="str">
        <f>AU1&amp;AV1</f>
        <v>E7T</v>
      </c>
      <c r="AX1" s="228" t="str">
        <f>VLOOKUP($AW$1,'Weight &amp; Grade Def.'!$G$7:$I$86,2,0)</f>
        <v>E6T</v>
      </c>
      <c r="AY1" s="228" t="str">
        <f>VLOOKUP($AW$1,'Weight &amp; Grade Def.'!$G$7:$I$86,3,0)</f>
        <v>E8T</v>
      </c>
    </row>
    <row r="2" spans="1:51" s="3" customFormat="1" ht="34.049999999999997" customHeight="1" thickBot="1">
      <c r="A2" s="247" t="s">
        <v>248</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9"/>
      <c r="AU2" s="243"/>
      <c r="AV2" s="243"/>
      <c r="AW2" s="229"/>
      <c r="AX2" s="229" t="str">
        <f>VLOOKUP($AW$1,'Weight &amp; Grade Def.'!$G$7:$I$86,2,0)</f>
        <v>E6T</v>
      </c>
      <c r="AY2" s="229" t="str">
        <f>VLOOKUP($AW$1,'Weight &amp; Grade Def.'!$G$7:$I$86,2,0)</f>
        <v>E6T</v>
      </c>
    </row>
    <row r="3" spans="1:51" s="3" customFormat="1" ht="28.5" customHeight="1" thickBot="1">
      <c r="A3" s="105"/>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218"/>
      <c r="AK3" s="252" t="s">
        <v>621</v>
      </c>
      <c r="AL3" s="253"/>
      <c r="AM3" s="253"/>
      <c r="AN3" s="254"/>
      <c r="AO3" s="302" t="s">
        <v>619</v>
      </c>
      <c r="AP3" s="303"/>
      <c r="AQ3" s="303"/>
      <c r="AR3" s="303"/>
      <c r="AS3" s="303"/>
      <c r="AT3" s="304"/>
      <c r="AW3" s="159"/>
      <c r="AX3" s="160"/>
      <c r="AY3" s="160"/>
    </row>
    <row r="4" spans="1:51" ht="28.5" customHeight="1">
      <c r="A4" s="107" t="s">
        <v>0</v>
      </c>
      <c r="B4" s="251"/>
      <c r="C4" s="251"/>
      <c r="D4" s="251"/>
      <c r="E4" s="251"/>
      <c r="F4" s="251"/>
      <c r="G4" s="251"/>
      <c r="H4" s="251"/>
      <c r="I4" s="6" t="s">
        <v>491</v>
      </c>
      <c r="J4" s="251"/>
      <c r="K4" s="251"/>
      <c r="L4" s="251"/>
      <c r="M4" s="4" t="s">
        <v>1</v>
      </c>
      <c r="O4" s="251"/>
      <c r="P4" s="251"/>
      <c r="Q4" s="251"/>
      <c r="R4" s="251"/>
      <c r="S4" s="251"/>
      <c r="T4" s="251"/>
      <c r="U4" s="251"/>
      <c r="V4" s="4" t="s">
        <v>185</v>
      </c>
      <c r="X4" s="250" t="str">
        <f>AU1</f>
        <v>E7</v>
      </c>
      <c r="Y4" s="250"/>
      <c r="Z4" s="250"/>
      <c r="AA4" s="250"/>
      <c r="AB4" s="4" t="s">
        <v>13</v>
      </c>
      <c r="AG4" s="251"/>
      <c r="AH4" s="251"/>
      <c r="AI4" s="251"/>
      <c r="AJ4" s="225"/>
      <c r="AK4" s="255"/>
      <c r="AL4" s="256"/>
      <c r="AM4" s="256"/>
      <c r="AN4" s="257"/>
      <c r="AO4" s="221"/>
      <c r="AP4" s="219"/>
      <c r="AQ4" s="220"/>
      <c r="AR4" s="219"/>
      <c r="AS4" s="220"/>
      <c r="AT4" s="222"/>
      <c r="AW4" s="161"/>
      <c r="AX4" s="162" t="s">
        <v>420</v>
      </c>
      <c r="AY4" s="162" t="s">
        <v>421</v>
      </c>
    </row>
    <row r="5" spans="1:51" ht="28.5" customHeight="1">
      <c r="A5" s="107" t="s">
        <v>190</v>
      </c>
      <c r="I5" s="4" t="s">
        <v>492</v>
      </c>
      <c r="M5" s="4" t="s">
        <v>191</v>
      </c>
      <c r="V5" s="4" t="s">
        <v>192</v>
      </c>
      <c r="AB5" s="4" t="s">
        <v>199</v>
      </c>
      <c r="AJ5" s="225"/>
      <c r="AK5" s="255"/>
      <c r="AL5" s="256"/>
      <c r="AM5" s="256"/>
      <c r="AN5" s="257"/>
      <c r="AO5" s="223"/>
      <c r="AP5" s="210"/>
      <c r="AQ5" s="209"/>
      <c r="AR5" s="210"/>
      <c r="AS5" s="209"/>
      <c r="AT5" s="224"/>
    </row>
    <row r="6" spans="1:51" s="5" customFormat="1" ht="28.5" customHeight="1">
      <c r="A6" s="108"/>
      <c r="AJ6" s="225"/>
      <c r="AK6" s="255"/>
      <c r="AL6" s="256"/>
      <c r="AM6" s="256"/>
      <c r="AN6" s="257"/>
      <c r="AO6" s="305" t="s">
        <v>418</v>
      </c>
      <c r="AP6" s="262"/>
      <c r="AQ6" s="261" t="s">
        <v>475</v>
      </c>
      <c r="AR6" s="262"/>
      <c r="AS6" s="261" t="s">
        <v>476</v>
      </c>
      <c r="AT6" s="306"/>
    </row>
    <row r="7" spans="1:51" ht="28.5" customHeight="1" thickBot="1">
      <c r="A7" s="107" t="s">
        <v>15</v>
      </c>
      <c r="B7" s="251"/>
      <c r="C7" s="251"/>
      <c r="D7" s="251"/>
      <c r="E7" s="251"/>
      <c r="F7" s="251"/>
      <c r="G7" s="251"/>
      <c r="H7" s="4" t="s">
        <v>186</v>
      </c>
      <c r="L7" s="251"/>
      <c r="M7" s="251"/>
      <c r="N7" s="251"/>
      <c r="O7" s="251"/>
      <c r="P7" s="251"/>
      <c r="Q7" s="251"/>
      <c r="R7" s="251"/>
      <c r="S7" s="251"/>
      <c r="T7" s="251"/>
      <c r="U7" s="251"/>
      <c r="V7" s="251"/>
      <c r="W7" s="251"/>
      <c r="X7" s="251"/>
      <c r="Y7" s="4" t="s">
        <v>2</v>
      </c>
      <c r="AA7" s="476"/>
      <c r="AB7" s="251"/>
      <c r="AC7" s="251"/>
      <c r="AD7" s="251"/>
      <c r="AE7" s="4" t="s">
        <v>3</v>
      </c>
      <c r="AH7" s="251"/>
      <c r="AI7" s="251"/>
      <c r="AJ7" s="225" t="s">
        <v>419</v>
      </c>
      <c r="AK7" s="255"/>
      <c r="AL7" s="256"/>
      <c r="AM7" s="256"/>
      <c r="AN7" s="257"/>
      <c r="AO7" s="238" t="s">
        <v>7</v>
      </c>
      <c r="AP7" s="239"/>
      <c r="AQ7" s="240" t="s">
        <v>7</v>
      </c>
      <c r="AR7" s="239"/>
      <c r="AS7" s="240" t="s">
        <v>7</v>
      </c>
      <c r="AT7" s="241"/>
    </row>
    <row r="8" spans="1:51" ht="28.5" customHeight="1" thickBot="1">
      <c r="A8" s="107" t="s">
        <v>195</v>
      </c>
      <c r="H8" s="4" t="s">
        <v>196</v>
      </c>
      <c r="Y8" s="4" t="s">
        <v>193</v>
      </c>
      <c r="AE8" s="4" t="s">
        <v>194</v>
      </c>
      <c r="AJ8" s="225"/>
      <c r="AK8" s="255"/>
      <c r="AL8" s="256"/>
      <c r="AM8" s="256"/>
      <c r="AN8" s="257"/>
      <c r="AO8" s="263" t="s">
        <v>620</v>
      </c>
      <c r="AP8" s="264"/>
      <c r="AQ8" s="264"/>
      <c r="AR8" s="264"/>
      <c r="AS8" s="264"/>
      <c r="AT8" s="265"/>
    </row>
    <row r="9" spans="1:51" s="5" customFormat="1" ht="28.5" customHeight="1">
      <c r="A9" s="108"/>
      <c r="AJ9" s="109"/>
      <c r="AK9" s="255"/>
      <c r="AL9" s="256"/>
      <c r="AM9" s="256"/>
      <c r="AN9" s="257"/>
      <c r="AO9" s="230"/>
      <c r="AP9" s="231"/>
      <c r="AQ9" s="234"/>
      <c r="AR9" s="231"/>
      <c r="AS9" s="234"/>
      <c r="AT9" s="236"/>
    </row>
    <row r="10" spans="1:51" ht="28.5" customHeight="1">
      <c r="A10" s="107" t="s">
        <v>187</v>
      </c>
      <c r="C10" s="250"/>
      <c r="D10" s="250"/>
      <c r="E10" s="250"/>
      <c r="F10" s="250"/>
      <c r="G10" s="250"/>
      <c r="H10" s="250"/>
      <c r="I10" s="250"/>
      <c r="J10" s="250"/>
      <c r="K10" s="250"/>
      <c r="L10" s="250"/>
      <c r="M10" s="250"/>
      <c r="O10" s="4" t="s">
        <v>188</v>
      </c>
      <c r="R10" s="250"/>
      <c r="S10" s="250"/>
      <c r="T10" s="250"/>
      <c r="U10" s="250"/>
      <c r="V10" s="250"/>
      <c r="W10" s="250"/>
      <c r="X10" s="250"/>
      <c r="Y10" s="250"/>
      <c r="Z10" s="250"/>
      <c r="AA10" s="250"/>
      <c r="AB10" s="250"/>
      <c r="AC10" s="250"/>
      <c r="AD10" s="250"/>
      <c r="AE10" s="4" t="s">
        <v>189</v>
      </c>
      <c r="AH10" s="250"/>
      <c r="AI10" s="250"/>
      <c r="AJ10" s="266"/>
      <c r="AK10" s="255"/>
      <c r="AL10" s="256"/>
      <c r="AM10" s="256"/>
      <c r="AN10" s="257"/>
      <c r="AO10" s="232"/>
      <c r="AP10" s="233"/>
      <c r="AQ10" s="235"/>
      <c r="AR10" s="233"/>
      <c r="AS10" s="235"/>
      <c r="AT10" s="237"/>
    </row>
    <row r="11" spans="1:51" ht="28.5" customHeight="1">
      <c r="A11" s="107" t="s">
        <v>197</v>
      </c>
      <c r="O11" s="4" t="s">
        <v>474</v>
      </c>
      <c r="AE11" s="4" t="s">
        <v>198</v>
      </c>
      <c r="AJ11" s="225"/>
      <c r="AK11" s="255"/>
      <c r="AL11" s="256"/>
      <c r="AM11" s="256"/>
      <c r="AN11" s="257"/>
      <c r="AO11" s="305" t="s">
        <v>418</v>
      </c>
      <c r="AP11" s="262"/>
      <c r="AQ11" s="261" t="s">
        <v>475</v>
      </c>
      <c r="AR11" s="262"/>
      <c r="AS11" s="261" t="s">
        <v>476</v>
      </c>
      <c r="AT11" s="306"/>
    </row>
    <row r="12" spans="1:51" ht="28.5" customHeight="1" thickBot="1">
      <c r="A12" s="110"/>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2"/>
      <c r="AK12" s="258"/>
      <c r="AL12" s="259"/>
      <c r="AM12" s="259"/>
      <c r="AN12" s="260"/>
      <c r="AO12" s="238" t="s">
        <v>7</v>
      </c>
      <c r="AP12" s="239"/>
      <c r="AQ12" s="240" t="s">
        <v>7</v>
      </c>
      <c r="AR12" s="239"/>
      <c r="AS12" s="240" t="s">
        <v>7</v>
      </c>
      <c r="AT12" s="241"/>
    </row>
    <row r="13" spans="1:51" ht="28.5" customHeight="1" thickBot="1">
      <c r="A13" s="110"/>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2"/>
    </row>
    <row r="14" spans="1:51" s="6" customFormat="1" ht="60" customHeight="1" thickBot="1">
      <c r="A14" s="463" t="s">
        <v>200</v>
      </c>
      <c r="B14" s="464"/>
      <c r="C14" s="467" t="s">
        <v>202</v>
      </c>
      <c r="D14" s="468"/>
      <c r="E14" s="469"/>
      <c r="F14" s="267" t="str">
        <f>VLOOKUP($F$16,'Weight &amp; Grade Def.'!$B$7:$D$46,2,0)</f>
        <v>E6</v>
      </c>
      <c r="G14" s="272" t="str">
        <f>IFERROR(VLOOKUP($AX$1,'Weight &amp; Grade Def.'!$G$6:$N$86,8,0),"-")</f>
        <v>จัดการกับงานสำคัญที่ได้รับมอบหมายตามขอบเขตงานให้สำเร็จลุล่วงได้โดยลำพัง ; ปรับเปลี่ยน หรือ ตรวจสอบ พร้อมทั้งแก้ไขปัญหาในระบบปฏิบัติการ หรือ กระบวนการทำงานที่มีอยู่ ณ ปัจจุบัน ; แก้ไขปัญหาในการปฏิบัติงานด้วยอำนาจที่มีอยู่อย่างจำกัด เพื่อจัดการทรัพยากรการดำเนินงานในขอบเขตที่ได้รับมอบหมาย ; โน้มน้าวหรืออธิบายข้อเท็จจริง แนวปฏิบัติ นโยบาย ต่อบุคคลที่เกี่ยวข้องทั้งภายในและภายนอก ; สอนความรู้ในงานให้แก่ระดับที่ต่ำกว่า ; มีความรู้ระดับก้าวหน้าในขอบเขตงานหนึ่ง</v>
      </c>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4"/>
      <c r="AJ14" s="313" t="s">
        <v>205</v>
      </c>
      <c r="AK14" s="314"/>
      <c r="AL14" s="314"/>
      <c r="AM14" s="314"/>
      <c r="AN14" s="314"/>
      <c r="AO14" s="314"/>
      <c r="AP14" s="314"/>
      <c r="AQ14" s="314"/>
      <c r="AR14" s="314"/>
      <c r="AS14" s="314"/>
      <c r="AT14" s="315"/>
    </row>
    <row r="15" spans="1:51" s="6" customFormat="1" ht="60" customHeight="1" thickBot="1">
      <c r="A15" s="463"/>
      <c r="B15" s="464"/>
      <c r="C15" s="281"/>
      <c r="D15" s="282"/>
      <c r="E15" s="283"/>
      <c r="F15" s="268"/>
      <c r="G15" s="275"/>
      <c r="H15" s="276"/>
      <c r="I15" s="276"/>
      <c r="J15" s="276"/>
      <c r="K15" s="276"/>
      <c r="L15" s="276"/>
      <c r="M15" s="276"/>
      <c r="N15" s="276"/>
      <c r="O15" s="276"/>
      <c r="P15" s="276"/>
      <c r="Q15" s="276"/>
      <c r="R15" s="276"/>
      <c r="S15" s="276"/>
      <c r="T15" s="276"/>
      <c r="U15" s="276"/>
      <c r="V15" s="276"/>
      <c r="W15" s="276"/>
      <c r="X15" s="276"/>
      <c r="Y15" s="276"/>
      <c r="Z15" s="276"/>
      <c r="AA15" s="276"/>
      <c r="AB15" s="276"/>
      <c r="AC15" s="276"/>
      <c r="AD15" s="276"/>
      <c r="AE15" s="276"/>
      <c r="AF15" s="276"/>
      <c r="AG15" s="276"/>
      <c r="AH15" s="277"/>
      <c r="AJ15" s="7" t="s">
        <v>206</v>
      </c>
      <c r="AK15" s="325" t="s">
        <v>260</v>
      </c>
      <c r="AL15" s="325"/>
      <c r="AM15" s="325"/>
      <c r="AN15" s="325"/>
      <c r="AO15" s="325"/>
      <c r="AP15" s="325"/>
      <c r="AQ15" s="325"/>
      <c r="AR15" s="325"/>
      <c r="AS15" s="325"/>
      <c r="AT15" s="326"/>
    </row>
    <row r="16" spans="1:51" s="6" customFormat="1" ht="60" customHeight="1" thickBot="1">
      <c r="A16" s="463"/>
      <c r="B16" s="464"/>
      <c r="C16" s="278" t="s">
        <v>201</v>
      </c>
      <c r="D16" s="279"/>
      <c r="E16" s="280"/>
      <c r="F16" s="269" t="str">
        <f>AU1</f>
        <v>E7</v>
      </c>
      <c r="G16" s="290" t="str">
        <f>IFERROR(VLOOKUP($AW$1,'Weight &amp; Grade Def.'!$G$6:$N$86,8,0),"-")</f>
        <v>จัดการกับงานที่ได้รับมอบหมายตามขอบเขตงานให้สำเร็จลุล่วงภายใต้การกำกับดูแลที่จำกัด ; ตรวจสอบ และ แก้ไขปัญหาในระบบปฏิบัติการ หรือ กระบวนการทำงานที่มีอยู่ ณ ปัจจุบัน ; แก้ไขปัญหาในงานที่มีการระบุไว้แล้วอย่างชัดเจนในขอบเขตที่ได้รับมอบหมาย ; อธิบายเกี่ยวกับข้อเท็จจริง แนวปฏิบัติ นโยบายแก่้ผู้มีส่วนเกี่ยวข้องหลักภายในได้ ; ให้คำชี้แนะเกี่ยวกับความรู้ในงานแก่ระดับที่ต่ำกว่า ; มีความรู้เกี่ยวกับงานในเชิงปฏิบัติในขอบเขตงานหนึ่ง</v>
      </c>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2"/>
      <c r="AJ16" s="8" t="s">
        <v>207</v>
      </c>
      <c r="AK16" s="342" t="s">
        <v>259</v>
      </c>
      <c r="AL16" s="342"/>
      <c r="AM16" s="342"/>
      <c r="AN16" s="342"/>
      <c r="AO16" s="342"/>
      <c r="AP16" s="342"/>
      <c r="AQ16" s="342"/>
      <c r="AR16" s="342"/>
      <c r="AS16" s="342"/>
      <c r="AT16" s="343"/>
    </row>
    <row r="17" spans="1:46" s="6" customFormat="1" ht="60" customHeight="1" thickBot="1">
      <c r="A17" s="463"/>
      <c r="B17" s="464"/>
      <c r="C17" s="281"/>
      <c r="D17" s="282"/>
      <c r="E17" s="283"/>
      <c r="F17" s="270"/>
      <c r="G17" s="275"/>
      <c r="H17" s="276"/>
      <c r="I17" s="276"/>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7"/>
      <c r="AJ17" s="217" t="s">
        <v>208</v>
      </c>
      <c r="AK17" s="330" t="s">
        <v>258</v>
      </c>
      <c r="AL17" s="330"/>
      <c r="AM17" s="330"/>
      <c r="AN17" s="330"/>
      <c r="AO17" s="330"/>
      <c r="AP17" s="330"/>
      <c r="AQ17" s="330"/>
      <c r="AR17" s="330"/>
      <c r="AS17" s="330"/>
      <c r="AT17" s="331"/>
    </row>
    <row r="18" spans="1:46" s="6" customFormat="1" ht="60" customHeight="1">
      <c r="A18" s="463"/>
      <c r="B18" s="464"/>
      <c r="C18" s="278" t="s">
        <v>203</v>
      </c>
      <c r="D18" s="279"/>
      <c r="E18" s="280"/>
      <c r="F18" s="271" t="str">
        <f>VLOOKUP($F$16,'Weight &amp; Grade Def.'!$B$7:$D$46,3,0)</f>
        <v>E8</v>
      </c>
      <c r="G18" s="290" t="str">
        <f>IFERROR(VLOOKUP($AY$1,'Weight &amp; Grade Def.'!$G$6:$N$86,8,0),"-")</f>
        <v>จัดการกับงานระดับพื้นฐานที่ได้รับมอบหมายตามขอบเขตงานให้สำเร็จลุล่วงภายใต้การกำกับดูแลทั่วไป ; ตรวจสอบระบบปฏิบัติการ หรือ กระบวนการทำงานที่มีอยู่ ณ ปัจจุบัน ; แก้ไขปัญหาในงานที่มีการระบุไว้แล้วอย่างชัดเจนในขอบเขตที่ได้รับมอบหมาย ; อธิบายเกี่ยวกับข้อเท็จจริง แนวการปฏิบัติ นโยบายแก่้ผู้มีส่วนเกี่ยวข้องหลักภายในได้ ; ให้คำชี้แนะเกี่ยวกับความรู้ในงานแก่ระดับที่ต่ำกว่า ; มีความรู้เกี่ยวกับงานในเชิงทฤษฎีในขอบเขตงานหนึ่ง</v>
      </c>
      <c r="H18" s="291"/>
      <c r="I18" s="291"/>
      <c r="J18" s="291"/>
      <c r="K18" s="291"/>
      <c r="L18" s="291"/>
      <c r="M18" s="291"/>
      <c r="N18" s="291"/>
      <c r="O18" s="291"/>
      <c r="P18" s="291"/>
      <c r="Q18" s="291"/>
      <c r="R18" s="291"/>
      <c r="S18" s="291"/>
      <c r="T18" s="291"/>
      <c r="U18" s="291"/>
      <c r="V18" s="291"/>
      <c r="W18" s="291"/>
      <c r="X18" s="291"/>
      <c r="Y18" s="291"/>
      <c r="Z18" s="291"/>
      <c r="AA18" s="291"/>
      <c r="AB18" s="291"/>
      <c r="AC18" s="291"/>
      <c r="AD18" s="291"/>
      <c r="AE18" s="291"/>
      <c r="AF18" s="291"/>
      <c r="AG18" s="291"/>
      <c r="AH18" s="292"/>
      <c r="AJ18" s="9" t="s">
        <v>209</v>
      </c>
      <c r="AK18" s="332" t="s">
        <v>212</v>
      </c>
      <c r="AL18" s="332"/>
      <c r="AM18" s="332"/>
      <c r="AN18" s="332"/>
      <c r="AO18" s="332"/>
      <c r="AP18" s="332"/>
      <c r="AQ18" s="332"/>
      <c r="AR18" s="332"/>
      <c r="AS18" s="332"/>
      <c r="AT18" s="333"/>
    </row>
    <row r="19" spans="1:46" s="6" customFormat="1" ht="60" customHeight="1" thickBot="1">
      <c r="A19" s="465"/>
      <c r="B19" s="466"/>
      <c r="C19" s="281"/>
      <c r="D19" s="282"/>
      <c r="E19" s="283"/>
      <c r="F19" s="268"/>
      <c r="G19" s="275"/>
      <c r="H19" s="276"/>
      <c r="I19" s="276"/>
      <c r="J19" s="276"/>
      <c r="K19" s="276"/>
      <c r="L19" s="276"/>
      <c r="M19" s="276"/>
      <c r="N19" s="276"/>
      <c r="O19" s="276"/>
      <c r="P19" s="276"/>
      <c r="Q19" s="276"/>
      <c r="R19" s="276"/>
      <c r="S19" s="276"/>
      <c r="T19" s="276"/>
      <c r="U19" s="276"/>
      <c r="V19" s="276"/>
      <c r="W19" s="276"/>
      <c r="X19" s="276"/>
      <c r="Y19" s="276"/>
      <c r="Z19" s="276"/>
      <c r="AA19" s="276"/>
      <c r="AB19" s="276"/>
      <c r="AC19" s="276"/>
      <c r="AD19" s="276"/>
      <c r="AE19" s="276"/>
      <c r="AF19" s="276"/>
      <c r="AG19" s="276"/>
      <c r="AH19" s="277"/>
      <c r="AJ19" s="10" t="s">
        <v>210</v>
      </c>
      <c r="AK19" s="334" t="s">
        <v>211</v>
      </c>
      <c r="AL19" s="334"/>
      <c r="AM19" s="334"/>
      <c r="AN19" s="334"/>
      <c r="AO19" s="334"/>
      <c r="AP19" s="334"/>
      <c r="AQ19" s="334"/>
      <c r="AR19" s="334"/>
      <c r="AS19" s="334"/>
      <c r="AT19" s="335"/>
    </row>
    <row r="20" spans="1:46" ht="29.4" thickBot="1"/>
    <row r="21" spans="1:46" ht="29.4" thickBot="1">
      <c r="A21" s="11" t="s">
        <v>204</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3"/>
    </row>
    <row r="22" spans="1:46">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row>
    <row r="23" spans="1:46" s="3" customFormat="1" ht="34.950000000000003" customHeight="1">
      <c r="A23" s="470" t="s">
        <v>216</v>
      </c>
      <c r="B23" s="471"/>
      <c r="C23" s="293" t="s">
        <v>268</v>
      </c>
      <c r="D23" s="294"/>
      <c r="E23" s="294"/>
      <c r="F23" s="295"/>
      <c r="G23" s="293" t="s">
        <v>269</v>
      </c>
      <c r="H23" s="294"/>
      <c r="I23" s="294"/>
      <c r="J23" s="295"/>
      <c r="K23" s="284" t="s">
        <v>484</v>
      </c>
      <c r="L23" s="285"/>
      <c r="M23" s="285"/>
      <c r="N23" s="285"/>
      <c r="O23" s="285"/>
      <c r="P23" s="285"/>
      <c r="Q23" s="285"/>
      <c r="R23" s="285"/>
      <c r="S23" s="285"/>
      <c r="T23" s="285"/>
      <c r="U23" s="285"/>
      <c r="V23" s="285"/>
      <c r="W23" s="285"/>
      <c r="X23" s="285"/>
      <c r="Y23" s="285"/>
      <c r="Z23" s="285"/>
      <c r="AA23" s="285"/>
      <c r="AB23" s="286"/>
      <c r="AC23" s="344" t="s">
        <v>485</v>
      </c>
      <c r="AD23" s="345"/>
      <c r="AE23" s="345"/>
      <c r="AF23" s="345"/>
      <c r="AG23" s="345"/>
      <c r="AH23" s="345"/>
      <c r="AI23" s="345"/>
      <c r="AJ23" s="345"/>
      <c r="AK23" s="345"/>
      <c r="AL23" s="345"/>
      <c r="AM23" s="345"/>
      <c r="AN23" s="345"/>
      <c r="AO23" s="345"/>
      <c r="AP23" s="345"/>
      <c r="AQ23" s="345"/>
      <c r="AR23" s="345"/>
      <c r="AS23" s="345"/>
      <c r="AT23" s="346"/>
    </row>
    <row r="24" spans="1:46" ht="67.95" customHeight="1">
      <c r="A24" s="472"/>
      <c r="B24" s="473"/>
      <c r="C24" s="296"/>
      <c r="D24" s="297"/>
      <c r="E24" s="297"/>
      <c r="F24" s="298"/>
      <c r="G24" s="296"/>
      <c r="H24" s="297"/>
      <c r="I24" s="297"/>
      <c r="J24" s="298"/>
      <c r="K24" s="287" t="s">
        <v>633</v>
      </c>
      <c r="L24" s="288"/>
      <c r="M24" s="288"/>
      <c r="N24" s="288"/>
      <c r="O24" s="288"/>
      <c r="P24" s="289"/>
      <c r="Q24" s="287" t="s">
        <v>634</v>
      </c>
      <c r="R24" s="288"/>
      <c r="S24" s="288"/>
      <c r="T24" s="288"/>
      <c r="U24" s="288"/>
      <c r="V24" s="289"/>
      <c r="W24" s="287" t="s">
        <v>635</v>
      </c>
      <c r="X24" s="288"/>
      <c r="Y24" s="288"/>
      <c r="Z24" s="288"/>
      <c r="AA24" s="288"/>
      <c r="AB24" s="423"/>
      <c r="AC24" s="424" t="s">
        <v>633</v>
      </c>
      <c r="AD24" s="357"/>
      <c r="AE24" s="357"/>
      <c r="AF24" s="357"/>
      <c r="AG24" s="357"/>
      <c r="AH24" s="358"/>
      <c r="AI24" s="356" t="s">
        <v>634</v>
      </c>
      <c r="AJ24" s="357"/>
      <c r="AK24" s="357"/>
      <c r="AL24" s="357"/>
      <c r="AM24" s="357"/>
      <c r="AN24" s="358"/>
      <c r="AO24" s="356" t="s">
        <v>635</v>
      </c>
      <c r="AP24" s="357"/>
      <c r="AQ24" s="357"/>
      <c r="AR24" s="357"/>
      <c r="AS24" s="357"/>
      <c r="AT24" s="358"/>
    </row>
    <row r="25" spans="1:46" ht="30" customHeight="1">
      <c r="A25" s="472"/>
      <c r="B25" s="473"/>
      <c r="C25" s="296"/>
      <c r="D25" s="297"/>
      <c r="E25" s="297"/>
      <c r="F25" s="298"/>
      <c r="G25" s="296"/>
      <c r="H25" s="297"/>
      <c r="I25" s="297"/>
      <c r="J25" s="298"/>
      <c r="K25" s="15" t="s">
        <v>9</v>
      </c>
      <c r="L25" s="307" t="s">
        <v>213</v>
      </c>
      <c r="M25" s="308"/>
      <c r="N25" s="308"/>
      <c r="O25" s="308"/>
      <c r="P25" s="309"/>
      <c r="Q25" s="15" t="s">
        <v>9</v>
      </c>
      <c r="R25" s="307" t="s">
        <v>213</v>
      </c>
      <c r="S25" s="308"/>
      <c r="T25" s="308"/>
      <c r="U25" s="308"/>
      <c r="V25" s="309"/>
      <c r="W25" s="15" t="s">
        <v>9</v>
      </c>
      <c r="X25" s="307" t="s">
        <v>213</v>
      </c>
      <c r="Y25" s="308"/>
      <c r="Z25" s="308"/>
      <c r="AA25" s="308"/>
      <c r="AB25" s="426"/>
      <c r="AC25" s="88" t="s">
        <v>9</v>
      </c>
      <c r="AD25" s="336" t="s">
        <v>213</v>
      </c>
      <c r="AE25" s="337"/>
      <c r="AF25" s="337"/>
      <c r="AG25" s="337"/>
      <c r="AH25" s="338"/>
      <c r="AI25" s="69" t="s">
        <v>9</v>
      </c>
      <c r="AJ25" s="336" t="s">
        <v>213</v>
      </c>
      <c r="AK25" s="337"/>
      <c r="AL25" s="337"/>
      <c r="AM25" s="337"/>
      <c r="AN25" s="338"/>
      <c r="AO25" s="69" t="s">
        <v>9</v>
      </c>
      <c r="AP25" s="336" t="s">
        <v>213</v>
      </c>
      <c r="AQ25" s="337"/>
      <c r="AR25" s="337"/>
      <c r="AS25" s="337"/>
      <c r="AT25" s="338"/>
    </row>
    <row r="26" spans="1:46" ht="30" customHeight="1">
      <c r="A26" s="474"/>
      <c r="B26" s="475"/>
      <c r="C26" s="299"/>
      <c r="D26" s="300"/>
      <c r="E26" s="300"/>
      <c r="F26" s="301"/>
      <c r="G26" s="299"/>
      <c r="H26" s="300"/>
      <c r="I26" s="300"/>
      <c r="J26" s="301"/>
      <c r="K26" s="39" t="s">
        <v>214</v>
      </c>
      <c r="L26" s="310" t="s">
        <v>215</v>
      </c>
      <c r="M26" s="311"/>
      <c r="N26" s="311"/>
      <c r="O26" s="311"/>
      <c r="P26" s="312"/>
      <c r="Q26" s="37" t="s">
        <v>214</v>
      </c>
      <c r="R26" s="310" t="s">
        <v>215</v>
      </c>
      <c r="S26" s="311"/>
      <c r="T26" s="311"/>
      <c r="U26" s="311"/>
      <c r="V26" s="312"/>
      <c r="W26" s="37" t="s">
        <v>214</v>
      </c>
      <c r="X26" s="310" t="s">
        <v>215</v>
      </c>
      <c r="Y26" s="311"/>
      <c r="Z26" s="311"/>
      <c r="AA26" s="311"/>
      <c r="AB26" s="425"/>
      <c r="AC26" s="89" t="s">
        <v>214</v>
      </c>
      <c r="AD26" s="339" t="s">
        <v>215</v>
      </c>
      <c r="AE26" s="340"/>
      <c r="AF26" s="340"/>
      <c r="AG26" s="340"/>
      <c r="AH26" s="341"/>
      <c r="AI26" s="38" t="s">
        <v>214</v>
      </c>
      <c r="AJ26" s="339" t="s">
        <v>215</v>
      </c>
      <c r="AK26" s="340"/>
      <c r="AL26" s="340"/>
      <c r="AM26" s="340"/>
      <c r="AN26" s="341"/>
      <c r="AO26" s="38" t="s">
        <v>214</v>
      </c>
      <c r="AP26" s="339" t="s">
        <v>215</v>
      </c>
      <c r="AQ26" s="340"/>
      <c r="AR26" s="340"/>
      <c r="AS26" s="340"/>
      <c r="AT26" s="341"/>
    </row>
    <row r="27" spans="1:46" ht="22.05" customHeight="1">
      <c r="A27" s="374" t="s">
        <v>262</v>
      </c>
      <c r="B27" s="374"/>
      <c r="C27" s="375" t="str">
        <f>VLOOKUP($AW$1,'6 Factors Definition'!$B$3:$O$84,2,0)</f>
        <v xml:space="preserve">นำความรู้และทักษะไปใช้อย่างมีประสิทธิภาพ พัฒนาตนเองในลักษณะของการเพิ่มพูนประสิทธิภาพในบทบาทและหน้าที่ที่รับผิดชอบ และแสดงให้เห็นถึงการพัฒนาตนเองอย่างต่อเนื่องในฐานะผู้ปฏิบัติงานที่มีประสบการณ์
</v>
      </c>
      <c r="D27" s="376"/>
      <c r="E27" s="376"/>
      <c r="F27" s="377"/>
      <c r="G27" s="375" t="str">
        <f>VLOOKUP($AW$1,'6 Factors Definition'!$B$3:$O$84,9,0)</f>
        <v xml:space="preserve"> - รู้จักบทบาทที่คาดหวังและแสดงความรับผิดชอบตามที่คาดไว้
 - ดำเนินการให้ได้มาซึ่งความรู้ ทักษะ และความเชี่ยวชาญใหม่ ๆ
</v>
      </c>
      <c r="H27" s="376"/>
      <c r="I27" s="376"/>
      <c r="J27" s="377"/>
      <c r="K27" s="327">
        <v>5</v>
      </c>
      <c r="L27" s="347"/>
      <c r="M27" s="348"/>
      <c r="N27" s="348"/>
      <c r="O27" s="348"/>
      <c r="P27" s="349"/>
      <c r="Q27" s="327">
        <v>5</v>
      </c>
      <c r="R27" s="347"/>
      <c r="S27" s="348"/>
      <c r="T27" s="348"/>
      <c r="U27" s="348"/>
      <c r="V27" s="349"/>
      <c r="W27" s="327">
        <v>5</v>
      </c>
      <c r="X27" s="316"/>
      <c r="Y27" s="317"/>
      <c r="Z27" s="317"/>
      <c r="AA27" s="317"/>
      <c r="AB27" s="365"/>
      <c r="AC27" s="359">
        <v>5</v>
      </c>
      <c r="AD27" s="347"/>
      <c r="AE27" s="348"/>
      <c r="AF27" s="348"/>
      <c r="AG27" s="348"/>
      <c r="AH27" s="349"/>
      <c r="AI27" s="327">
        <v>5</v>
      </c>
      <c r="AJ27" s="316"/>
      <c r="AK27" s="317"/>
      <c r="AL27" s="317"/>
      <c r="AM27" s="317"/>
      <c r="AN27" s="318"/>
      <c r="AO27" s="327">
        <v>5</v>
      </c>
      <c r="AP27" s="316"/>
      <c r="AQ27" s="317"/>
      <c r="AR27" s="317"/>
      <c r="AS27" s="317"/>
      <c r="AT27" s="318"/>
    </row>
    <row r="28" spans="1:46" ht="22.05" customHeight="1">
      <c r="A28" s="374"/>
      <c r="B28" s="374"/>
      <c r="C28" s="378"/>
      <c r="D28" s="379"/>
      <c r="E28" s="379"/>
      <c r="F28" s="380"/>
      <c r="G28" s="378"/>
      <c r="H28" s="379"/>
      <c r="I28" s="379"/>
      <c r="J28" s="380"/>
      <c r="K28" s="328"/>
      <c r="L28" s="350"/>
      <c r="M28" s="351"/>
      <c r="N28" s="351"/>
      <c r="O28" s="351"/>
      <c r="P28" s="352"/>
      <c r="Q28" s="328"/>
      <c r="R28" s="350"/>
      <c r="S28" s="351"/>
      <c r="T28" s="351"/>
      <c r="U28" s="351"/>
      <c r="V28" s="352"/>
      <c r="W28" s="328"/>
      <c r="X28" s="319"/>
      <c r="Y28" s="320"/>
      <c r="Z28" s="320"/>
      <c r="AA28" s="320"/>
      <c r="AB28" s="366"/>
      <c r="AC28" s="360"/>
      <c r="AD28" s="350"/>
      <c r="AE28" s="351"/>
      <c r="AF28" s="351"/>
      <c r="AG28" s="351"/>
      <c r="AH28" s="352"/>
      <c r="AI28" s="328"/>
      <c r="AJ28" s="319"/>
      <c r="AK28" s="320"/>
      <c r="AL28" s="320"/>
      <c r="AM28" s="320"/>
      <c r="AN28" s="321"/>
      <c r="AO28" s="328"/>
      <c r="AP28" s="319"/>
      <c r="AQ28" s="320"/>
      <c r="AR28" s="320"/>
      <c r="AS28" s="320"/>
      <c r="AT28" s="321"/>
    </row>
    <row r="29" spans="1:46" ht="22.05" customHeight="1">
      <c r="A29" s="374"/>
      <c r="B29" s="374"/>
      <c r="C29" s="378"/>
      <c r="D29" s="379"/>
      <c r="E29" s="379"/>
      <c r="F29" s="380"/>
      <c r="G29" s="378"/>
      <c r="H29" s="379"/>
      <c r="I29" s="379"/>
      <c r="J29" s="380"/>
      <c r="K29" s="328"/>
      <c r="L29" s="350"/>
      <c r="M29" s="351"/>
      <c r="N29" s="351"/>
      <c r="O29" s="351"/>
      <c r="P29" s="352"/>
      <c r="Q29" s="328"/>
      <c r="R29" s="350"/>
      <c r="S29" s="351"/>
      <c r="T29" s="351"/>
      <c r="U29" s="351"/>
      <c r="V29" s="352"/>
      <c r="W29" s="328"/>
      <c r="X29" s="319"/>
      <c r="Y29" s="320"/>
      <c r="Z29" s="320"/>
      <c r="AA29" s="320"/>
      <c r="AB29" s="366"/>
      <c r="AC29" s="360"/>
      <c r="AD29" s="350"/>
      <c r="AE29" s="351"/>
      <c r="AF29" s="351"/>
      <c r="AG29" s="351"/>
      <c r="AH29" s="352"/>
      <c r="AI29" s="328"/>
      <c r="AJ29" s="319"/>
      <c r="AK29" s="320"/>
      <c r="AL29" s="320"/>
      <c r="AM29" s="320"/>
      <c r="AN29" s="321"/>
      <c r="AO29" s="328"/>
      <c r="AP29" s="319"/>
      <c r="AQ29" s="320"/>
      <c r="AR29" s="320"/>
      <c r="AS29" s="320"/>
      <c r="AT29" s="321"/>
    </row>
    <row r="30" spans="1:46" ht="22.05" customHeight="1">
      <c r="A30" s="374"/>
      <c r="B30" s="374"/>
      <c r="C30" s="378"/>
      <c r="D30" s="379"/>
      <c r="E30" s="379"/>
      <c r="F30" s="380"/>
      <c r="G30" s="378"/>
      <c r="H30" s="379"/>
      <c r="I30" s="379"/>
      <c r="J30" s="380"/>
      <c r="K30" s="328"/>
      <c r="L30" s="350"/>
      <c r="M30" s="351"/>
      <c r="N30" s="351"/>
      <c r="O30" s="351"/>
      <c r="P30" s="352"/>
      <c r="Q30" s="328"/>
      <c r="R30" s="350"/>
      <c r="S30" s="351"/>
      <c r="T30" s="351"/>
      <c r="U30" s="351"/>
      <c r="V30" s="352"/>
      <c r="W30" s="328"/>
      <c r="X30" s="319"/>
      <c r="Y30" s="320"/>
      <c r="Z30" s="320"/>
      <c r="AA30" s="320"/>
      <c r="AB30" s="366"/>
      <c r="AC30" s="360"/>
      <c r="AD30" s="350"/>
      <c r="AE30" s="351"/>
      <c r="AF30" s="351"/>
      <c r="AG30" s="351"/>
      <c r="AH30" s="352"/>
      <c r="AI30" s="328"/>
      <c r="AJ30" s="319"/>
      <c r="AK30" s="320"/>
      <c r="AL30" s="320"/>
      <c r="AM30" s="320"/>
      <c r="AN30" s="321"/>
      <c r="AO30" s="328"/>
      <c r="AP30" s="319"/>
      <c r="AQ30" s="320"/>
      <c r="AR30" s="320"/>
      <c r="AS30" s="320"/>
      <c r="AT30" s="321"/>
    </row>
    <row r="31" spans="1:46" ht="22.05" customHeight="1">
      <c r="A31" s="374"/>
      <c r="B31" s="374"/>
      <c r="C31" s="378"/>
      <c r="D31" s="379"/>
      <c r="E31" s="379"/>
      <c r="F31" s="380"/>
      <c r="G31" s="378"/>
      <c r="H31" s="379"/>
      <c r="I31" s="379"/>
      <c r="J31" s="380"/>
      <c r="K31" s="328"/>
      <c r="L31" s="350"/>
      <c r="M31" s="351"/>
      <c r="N31" s="351"/>
      <c r="O31" s="351"/>
      <c r="P31" s="352"/>
      <c r="Q31" s="328"/>
      <c r="R31" s="350"/>
      <c r="S31" s="351"/>
      <c r="T31" s="351"/>
      <c r="U31" s="351"/>
      <c r="V31" s="352"/>
      <c r="W31" s="328"/>
      <c r="X31" s="319"/>
      <c r="Y31" s="320"/>
      <c r="Z31" s="320"/>
      <c r="AA31" s="320"/>
      <c r="AB31" s="366"/>
      <c r="AC31" s="360"/>
      <c r="AD31" s="350"/>
      <c r="AE31" s="351"/>
      <c r="AF31" s="351"/>
      <c r="AG31" s="351"/>
      <c r="AH31" s="352"/>
      <c r="AI31" s="328"/>
      <c r="AJ31" s="319"/>
      <c r="AK31" s="320"/>
      <c r="AL31" s="320"/>
      <c r="AM31" s="320"/>
      <c r="AN31" s="321"/>
      <c r="AO31" s="328"/>
      <c r="AP31" s="319"/>
      <c r="AQ31" s="320"/>
      <c r="AR31" s="320"/>
      <c r="AS31" s="320"/>
      <c r="AT31" s="321"/>
    </row>
    <row r="32" spans="1:46" ht="22.05" customHeight="1">
      <c r="A32" s="374"/>
      <c r="B32" s="374"/>
      <c r="C32" s="381"/>
      <c r="D32" s="382"/>
      <c r="E32" s="382"/>
      <c r="F32" s="383"/>
      <c r="G32" s="381"/>
      <c r="H32" s="382"/>
      <c r="I32" s="382"/>
      <c r="J32" s="383"/>
      <c r="K32" s="329"/>
      <c r="L32" s="353"/>
      <c r="M32" s="354"/>
      <c r="N32" s="354"/>
      <c r="O32" s="354"/>
      <c r="P32" s="355"/>
      <c r="Q32" s="329"/>
      <c r="R32" s="353"/>
      <c r="S32" s="354"/>
      <c r="T32" s="354"/>
      <c r="U32" s="354"/>
      <c r="V32" s="355"/>
      <c r="W32" s="329"/>
      <c r="X32" s="322"/>
      <c r="Y32" s="323"/>
      <c r="Z32" s="323"/>
      <c r="AA32" s="323"/>
      <c r="AB32" s="367"/>
      <c r="AC32" s="361"/>
      <c r="AD32" s="353"/>
      <c r="AE32" s="354"/>
      <c r="AF32" s="354"/>
      <c r="AG32" s="354"/>
      <c r="AH32" s="355"/>
      <c r="AI32" s="329"/>
      <c r="AJ32" s="322"/>
      <c r="AK32" s="323"/>
      <c r="AL32" s="323"/>
      <c r="AM32" s="323"/>
      <c r="AN32" s="324"/>
      <c r="AO32" s="329"/>
      <c r="AP32" s="322"/>
      <c r="AQ32" s="323"/>
      <c r="AR32" s="323"/>
      <c r="AS32" s="323"/>
      <c r="AT32" s="324"/>
    </row>
    <row r="33" spans="1:46" ht="22.05" customHeight="1">
      <c r="A33" s="374" t="s">
        <v>263</v>
      </c>
      <c r="B33" s="374"/>
      <c r="C33" s="375" t="str">
        <f>VLOOKUP($AW$1,'6 Factors Definition'!$B$3:$O$84,3,0)</f>
        <v>ทำงานร่วมกับผู้อื่นได้อย่างมีประสิทธิภาพ รวมถึงสามารถสื่อสารเพื่อจูงใจและโน้มน้าวผู้อื่นได้อย่างเหมาะสมในฐานะผู้ปฏิบัติงาน</v>
      </c>
      <c r="D33" s="376"/>
      <c r="E33" s="376"/>
      <c r="F33" s="377"/>
      <c r="G33" s="375" t="str">
        <f>VLOOKUP($AW$1,'6 Factors Definition'!$B$3:$O$84,10,0)</f>
        <v xml:space="preserve"> - ทำงานร่วมกับผู้อื่นเพื่อบรรลุเป้าหมายร่วมได้
 - สื่อสาร และ โน้มน้าวผู้อื่นได้อย่างมีประสิทธิภาพ</v>
      </c>
      <c r="H33" s="376"/>
      <c r="I33" s="376"/>
      <c r="J33" s="377"/>
      <c r="K33" s="327">
        <v>5</v>
      </c>
      <c r="L33" s="347"/>
      <c r="M33" s="348"/>
      <c r="N33" s="348"/>
      <c r="O33" s="348"/>
      <c r="P33" s="349"/>
      <c r="Q33" s="327">
        <v>5</v>
      </c>
      <c r="R33" s="347"/>
      <c r="S33" s="348"/>
      <c r="T33" s="348"/>
      <c r="U33" s="348"/>
      <c r="V33" s="349"/>
      <c r="W33" s="327">
        <v>5</v>
      </c>
      <c r="X33" s="316"/>
      <c r="Y33" s="317"/>
      <c r="Z33" s="317"/>
      <c r="AA33" s="317"/>
      <c r="AB33" s="365"/>
      <c r="AC33" s="359">
        <v>5</v>
      </c>
      <c r="AD33" s="347"/>
      <c r="AE33" s="348"/>
      <c r="AF33" s="348"/>
      <c r="AG33" s="348"/>
      <c r="AH33" s="349"/>
      <c r="AI33" s="327">
        <v>5</v>
      </c>
      <c r="AJ33" s="316"/>
      <c r="AK33" s="317"/>
      <c r="AL33" s="317"/>
      <c r="AM33" s="317"/>
      <c r="AN33" s="318"/>
      <c r="AO33" s="327">
        <v>5</v>
      </c>
      <c r="AP33" s="316"/>
      <c r="AQ33" s="317"/>
      <c r="AR33" s="317"/>
      <c r="AS33" s="317"/>
      <c r="AT33" s="318"/>
    </row>
    <row r="34" spans="1:46" ht="22.05" customHeight="1">
      <c r="A34" s="374"/>
      <c r="B34" s="374"/>
      <c r="C34" s="378"/>
      <c r="D34" s="379"/>
      <c r="E34" s="379"/>
      <c r="F34" s="380"/>
      <c r="G34" s="378"/>
      <c r="H34" s="379"/>
      <c r="I34" s="379"/>
      <c r="J34" s="380"/>
      <c r="K34" s="328"/>
      <c r="L34" s="350"/>
      <c r="M34" s="351"/>
      <c r="N34" s="351"/>
      <c r="O34" s="351"/>
      <c r="P34" s="352"/>
      <c r="Q34" s="328"/>
      <c r="R34" s="350"/>
      <c r="S34" s="351"/>
      <c r="T34" s="351"/>
      <c r="U34" s="351"/>
      <c r="V34" s="352"/>
      <c r="W34" s="328"/>
      <c r="X34" s="319"/>
      <c r="Y34" s="320"/>
      <c r="Z34" s="320"/>
      <c r="AA34" s="320"/>
      <c r="AB34" s="366"/>
      <c r="AC34" s="360"/>
      <c r="AD34" s="350"/>
      <c r="AE34" s="351"/>
      <c r="AF34" s="351"/>
      <c r="AG34" s="351"/>
      <c r="AH34" s="352"/>
      <c r="AI34" s="328"/>
      <c r="AJ34" s="319"/>
      <c r="AK34" s="320"/>
      <c r="AL34" s="320"/>
      <c r="AM34" s="320"/>
      <c r="AN34" s="321"/>
      <c r="AO34" s="328"/>
      <c r="AP34" s="319"/>
      <c r="AQ34" s="320"/>
      <c r="AR34" s="320"/>
      <c r="AS34" s="320"/>
      <c r="AT34" s="321"/>
    </row>
    <row r="35" spans="1:46" ht="22.05" customHeight="1">
      <c r="A35" s="374"/>
      <c r="B35" s="374"/>
      <c r="C35" s="378"/>
      <c r="D35" s="379"/>
      <c r="E35" s="379"/>
      <c r="F35" s="380"/>
      <c r="G35" s="378"/>
      <c r="H35" s="379"/>
      <c r="I35" s="379"/>
      <c r="J35" s="380"/>
      <c r="K35" s="328"/>
      <c r="L35" s="350"/>
      <c r="M35" s="351"/>
      <c r="N35" s="351"/>
      <c r="O35" s="351"/>
      <c r="P35" s="352"/>
      <c r="Q35" s="328"/>
      <c r="R35" s="350"/>
      <c r="S35" s="351"/>
      <c r="T35" s="351"/>
      <c r="U35" s="351"/>
      <c r="V35" s="352"/>
      <c r="W35" s="328"/>
      <c r="X35" s="319"/>
      <c r="Y35" s="320"/>
      <c r="Z35" s="320"/>
      <c r="AA35" s="320"/>
      <c r="AB35" s="366"/>
      <c r="AC35" s="360"/>
      <c r="AD35" s="350"/>
      <c r="AE35" s="351"/>
      <c r="AF35" s="351"/>
      <c r="AG35" s="351"/>
      <c r="AH35" s="352"/>
      <c r="AI35" s="328"/>
      <c r="AJ35" s="319"/>
      <c r="AK35" s="320"/>
      <c r="AL35" s="320"/>
      <c r="AM35" s="320"/>
      <c r="AN35" s="321"/>
      <c r="AO35" s="328"/>
      <c r="AP35" s="319"/>
      <c r="AQ35" s="320"/>
      <c r="AR35" s="320"/>
      <c r="AS35" s="320"/>
      <c r="AT35" s="321"/>
    </row>
    <row r="36" spans="1:46" ht="22.05" customHeight="1">
      <c r="A36" s="374"/>
      <c r="B36" s="374"/>
      <c r="C36" s="378"/>
      <c r="D36" s="379"/>
      <c r="E36" s="379"/>
      <c r="F36" s="380"/>
      <c r="G36" s="378"/>
      <c r="H36" s="379"/>
      <c r="I36" s="379"/>
      <c r="J36" s="380"/>
      <c r="K36" s="328"/>
      <c r="L36" s="350"/>
      <c r="M36" s="351"/>
      <c r="N36" s="351"/>
      <c r="O36" s="351"/>
      <c r="P36" s="352"/>
      <c r="Q36" s="328"/>
      <c r="R36" s="350"/>
      <c r="S36" s="351"/>
      <c r="T36" s="351"/>
      <c r="U36" s="351"/>
      <c r="V36" s="352"/>
      <c r="W36" s="328"/>
      <c r="X36" s="319"/>
      <c r="Y36" s="320"/>
      <c r="Z36" s="320"/>
      <c r="AA36" s="320"/>
      <c r="AB36" s="366"/>
      <c r="AC36" s="360"/>
      <c r="AD36" s="350"/>
      <c r="AE36" s="351"/>
      <c r="AF36" s="351"/>
      <c r="AG36" s="351"/>
      <c r="AH36" s="352"/>
      <c r="AI36" s="328"/>
      <c r="AJ36" s="319"/>
      <c r="AK36" s="320"/>
      <c r="AL36" s="320"/>
      <c r="AM36" s="320"/>
      <c r="AN36" s="321"/>
      <c r="AO36" s="328"/>
      <c r="AP36" s="319"/>
      <c r="AQ36" s="320"/>
      <c r="AR36" s="320"/>
      <c r="AS36" s="320"/>
      <c r="AT36" s="321"/>
    </row>
    <row r="37" spans="1:46" ht="22.05" customHeight="1">
      <c r="A37" s="374"/>
      <c r="B37" s="374"/>
      <c r="C37" s="378"/>
      <c r="D37" s="379"/>
      <c r="E37" s="379"/>
      <c r="F37" s="380"/>
      <c r="G37" s="378"/>
      <c r="H37" s="379"/>
      <c r="I37" s="379"/>
      <c r="J37" s="380"/>
      <c r="K37" s="328"/>
      <c r="L37" s="350"/>
      <c r="M37" s="351"/>
      <c r="N37" s="351"/>
      <c r="O37" s="351"/>
      <c r="P37" s="352"/>
      <c r="Q37" s="328"/>
      <c r="R37" s="350"/>
      <c r="S37" s="351"/>
      <c r="T37" s="351"/>
      <c r="U37" s="351"/>
      <c r="V37" s="352"/>
      <c r="W37" s="328"/>
      <c r="X37" s="319"/>
      <c r="Y37" s="320"/>
      <c r="Z37" s="320"/>
      <c r="AA37" s="320"/>
      <c r="AB37" s="366"/>
      <c r="AC37" s="360"/>
      <c r="AD37" s="350"/>
      <c r="AE37" s="351"/>
      <c r="AF37" s="351"/>
      <c r="AG37" s="351"/>
      <c r="AH37" s="352"/>
      <c r="AI37" s="328"/>
      <c r="AJ37" s="319"/>
      <c r="AK37" s="320"/>
      <c r="AL37" s="320"/>
      <c r="AM37" s="320"/>
      <c r="AN37" s="321"/>
      <c r="AO37" s="328"/>
      <c r="AP37" s="319"/>
      <c r="AQ37" s="320"/>
      <c r="AR37" s="320"/>
      <c r="AS37" s="320"/>
      <c r="AT37" s="321"/>
    </row>
    <row r="38" spans="1:46" ht="22.05" customHeight="1">
      <c r="A38" s="374"/>
      <c r="B38" s="374"/>
      <c r="C38" s="381"/>
      <c r="D38" s="382"/>
      <c r="E38" s="382"/>
      <c r="F38" s="383"/>
      <c r="G38" s="381"/>
      <c r="H38" s="382"/>
      <c r="I38" s="382"/>
      <c r="J38" s="383"/>
      <c r="K38" s="329"/>
      <c r="L38" s="353"/>
      <c r="M38" s="354"/>
      <c r="N38" s="354"/>
      <c r="O38" s="354"/>
      <c r="P38" s="355"/>
      <c r="Q38" s="329"/>
      <c r="R38" s="353"/>
      <c r="S38" s="354"/>
      <c r="T38" s="354"/>
      <c r="U38" s="354"/>
      <c r="V38" s="355"/>
      <c r="W38" s="329"/>
      <c r="X38" s="322"/>
      <c r="Y38" s="323"/>
      <c r="Z38" s="323"/>
      <c r="AA38" s="323"/>
      <c r="AB38" s="367"/>
      <c r="AC38" s="361"/>
      <c r="AD38" s="353"/>
      <c r="AE38" s="354"/>
      <c r="AF38" s="354"/>
      <c r="AG38" s="354"/>
      <c r="AH38" s="355"/>
      <c r="AI38" s="329"/>
      <c r="AJ38" s="322"/>
      <c r="AK38" s="323"/>
      <c r="AL38" s="323"/>
      <c r="AM38" s="323"/>
      <c r="AN38" s="324"/>
      <c r="AO38" s="329"/>
      <c r="AP38" s="322"/>
      <c r="AQ38" s="323"/>
      <c r="AR38" s="323"/>
      <c r="AS38" s="323"/>
      <c r="AT38" s="324"/>
    </row>
    <row r="39" spans="1:46" ht="22.05" customHeight="1">
      <c r="A39" s="374" t="s">
        <v>264</v>
      </c>
      <c r="B39" s="374"/>
      <c r="C39" s="375" t="str">
        <f>VLOOKUP($AW$1,'6 Factors Definition'!$B$3:$O$84,4,0)</f>
        <v>คิดวิเคราะห์ เพื่อระบุปัญหา พร้อมกับพิจารณาทางเลือก และพัฒนาวิธีการแก้ปัญหาในงานที่ตนเองได้รับมอบหมาย</v>
      </c>
      <c r="D39" s="376"/>
      <c r="E39" s="376"/>
      <c r="F39" s="377"/>
      <c r="G39" s="375" t="str">
        <f>VLOOKUP($AW$1,'6 Factors Definition'!$B$3:$O$84,11,0)</f>
        <v xml:space="preserve"> - คิดเชิงวิเคราะห์เพื่อระบุปัญหา และวิธีการแก้ไข
 - ตัดสินใจ ภายใต้ขอบเขตของอำนาจที่ได้รับมอบหมาย และลงมือแก้ไขปัญหาตามเวลาที่กำหนด</v>
      </c>
      <c r="H39" s="376"/>
      <c r="I39" s="376"/>
      <c r="J39" s="377"/>
      <c r="K39" s="327">
        <v>5</v>
      </c>
      <c r="L39" s="347"/>
      <c r="M39" s="348"/>
      <c r="N39" s="348"/>
      <c r="O39" s="348"/>
      <c r="P39" s="349"/>
      <c r="Q39" s="327">
        <v>5</v>
      </c>
      <c r="R39" s="347"/>
      <c r="S39" s="348"/>
      <c r="T39" s="348"/>
      <c r="U39" s="348"/>
      <c r="V39" s="349"/>
      <c r="W39" s="327">
        <v>5</v>
      </c>
      <c r="X39" s="316"/>
      <c r="Y39" s="317"/>
      <c r="Z39" s="317"/>
      <c r="AA39" s="317"/>
      <c r="AB39" s="365"/>
      <c r="AC39" s="359">
        <v>5</v>
      </c>
      <c r="AD39" s="347"/>
      <c r="AE39" s="348"/>
      <c r="AF39" s="348"/>
      <c r="AG39" s="348"/>
      <c r="AH39" s="349"/>
      <c r="AI39" s="327">
        <v>5</v>
      </c>
      <c r="AJ39" s="316"/>
      <c r="AK39" s="317"/>
      <c r="AL39" s="317"/>
      <c r="AM39" s="317"/>
      <c r="AN39" s="318"/>
      <c r="AO39" s="327">
        <v>5</v>
      </c>
      <c r="AP39" s="316"/>
      <c r="AQ39" s="317"/>
      <c r="AR39" s="317"/>
      <c r="AS39" s="317"/>
      <c r="AT39" s="318"/>
    </row>
    <row r="40" spans="1:46" ht="22.05" customHeight="1">
      <c r="A40" s="374"/>
      <c r="B40" s="374"/>
      <c r="C40" s="378"/>
      <c r="D40" s="379"/>
      <c r="E40" s="379"/>
      <c r="F40" s="380"/>
      <c r="G40" s="378"/>
      <c r="H40" s="379"/>
      <c r="I40" s="379"/>
      <c r="J40" s="380"/>
      <c r="K40" s="328"/>
      <c r="L40" s="350"/>
      <c r="M40" s="351"/>
      <c r="N40" s="351"/>
      <c r="O40" s="351"/>
      <c r="P40" s="352"/>
      <c r="Q40" s="328"/>
      <c r="R40" s="350"/>
      <c r="S40" s="351"/>
      <c r="T40" s="351"/>
      <c r="U40" s="351"/>
      <c r="V40" s="352"/>
      <c r="W40" s="328"/>
      <c r="X40" s="319"/>
      <c r="Y40" s="320"/>
      <c r="Z40" s="320"/>
      <c r="AA40" s="320"/>
      <c r="AB40" s="366"/>
      <c r="AC40" s="360"/>
      <c r="AD40" s="350"/>
      <c r="AE40" s="351"/>
      <c r="AF40" s="351"/>
      <c r="AG40" s="351"/>
      <c r="AH40" s="352"/>
      <c r="AI40" s="328"/>
      <c r="AJ40" s="319"/>
      <c r="AK40" s="320"/>
      <c r="AL40" s="320"/>
      <c r="AM40" s="320"/>
      <c r="AN40" s="321"/>
      <c r="AO40" s="328"/>
      <c r="AP40" s="319"/>
      <c r="AQ40" s="320"/>
      <c r="AR40" s="320"/>
      <c r="AS40" s="320"/>
      <c r="AT40" s="321"/>
    </row>
    <row r="41" spans="1:46" ht="22.05" customHeight="1">
      <c r="A41" s="374"/>
      <c r="B41" s="374"/>
      <c r="C41" s="378"/>
      <c r="D41" s="379"/>
      <c r="E41" s="379"/>
      <c r="F41" s="380"/>
      <c r="G41" s="378"/>
      <c r="H41" s="379"/>
      <c r="I41" s="379"/>
      <c r="J41" s="380"/>
      <c r="K41" s="328"/>
      <c r="L41" s="350"/>
      <c r="M41" s="351"/>
      <c r="N41" s="351"/>
      <c r="O41" s="351"/>
      <c r="P41" s="352"/>
      <c r="Q41" s="328"/>
      <c r="R41" s="350"/>
      <c r="S41" s="351"/>
      <c r="T41" s="351"/>
      <c r="U41" s="351"/>
      <c r="V41" s="352"/>
      <c r="W41" s="328"/>
      <c r="X41" s="319"/>
      <c r="Y41" s="320"/>
      <c r="Z41" s="320"/>
      <c r="AA41" s="320"/>
      <c r="AB41" s="366"/>
      <c r="AC41" s="360"/>
      <c r="AD41" s="350"/>
      <c r="AE41" s="351"/>
      <c r="AF41" s="351"/>
      <c r="AG41" s="351"/>
      <c r="AH41" s="352"/>
      <c r="AI41" s="328"/>
      <c r="AJ41" s="319"/>
      <c r="AK41" s="320"/>
      <c r="AL41" s="320"/>
      <c r="AM41" s="320"/>
      <c r="AN41" s="321"/>
      <c r="AO41" s="328"/>
      <c r="AP41" s="319"/>
      <c r="AQ41" s="320"/>
      <c r="AR41" s="320"/>
      <c r="AS41" s="320"/>
      <c r="AT41" s="321"/>
    </row>
    <row r="42" spans="1:46" ht="22.05" customHeight="1">
      <c r="A42" s="374"/>
      <c r="B42" s="374"/>
      <c r="C42" s="378"/>
      <c r="D42" s="379"/>
      <c r="E42" s="379"/>
      <c r="F42" s="380"/>
      <c r="G42" s="378"/>
      <c r="H42" s="379"/>
      <c r="I42" s="379"/>
      <c r="J42" s="380"/>
      <c r="K42" s="328"/>
      <c r="L42" s="350"/>
      <c r="M42" s="351"/>
      <c r="N42" s="351"/>
      <c r="O42" s="351"/>
      <c r="P42" s="352"/>
      <c r="Q42" s="328"/>
      <c r="R42" s="350"/>
      <c r="S42" s="351"/>
      <c r="T42" s="351"/>
      <c r="U42" s="351"/>
      <c r="V42" s="352"/>
      <c r="W42" s="328"/>
      <c r="X42" s="319"/>
      <c r="Y42" s="320"/>
      <c r="Z42" s="320"/>
      <c r="AA42" s="320"/>
      <c r="AB42" s="366"/>
      <c r="AC42" s="360"/>
      <c r="AD42" s="350"/>
      <c r="AE42" s="351"/>
      <c r="AF42" s="351"/>
      <c r="AG42" s="351"/>
      <c r="AH42" s="352"/>
      <c r="AI42" s="328"/>
      <c r="AJ42" s="319"/>
      <c r="AK42" s="320"/>
      <c r="AL42" s="320"/>
      <c r="AM42" s="320"/>
      <c r="AN42" s="321"/>
      <c r="AO42" s="328"/>
      <c r="AP42" s="319"/>
      <c r="AQ42" s="320"/>
      <c r="AR42" s="320"/>
      <c r="AS42" s="320"/>
      <c r="AT42" s="321"/>
    </row>
    <row r="43" spans="1:46" ht="22.05" customHeight="1">
      <c r="A43" s="374"/>
      <c r="B43" s="374"/>
      <c r="C43" s="378"/>
      <c r="D43" s="379"/>
      <c r="E43" s="379"/>
      <c r="F43" s="380"/>
      <c r="G43" s="378"/>
      <c r="H43" s="379"/>
      <c r="I43" s="379"/>
      <c r="J43" s="380"/>
      <c r="K43" s="328"/>
      <c r="L43" s="350"/>
      <c r="M43" s="351"/>
      <c r="N43" s="351"/>
      <c r="O43" s="351"/>
      <c r="P43" s="352"/>
      <c r="Q43" s="328"/>
      <c r="R43" s="350"/>
      <c r="S43" s="351"/>
      <c r="T43" s="351"/>
      <c r="U43" s="351"/>
      <c r="V43" s="352"/>
      <c r="W43" s="328"/>
      <c r="X43" s="319"/>
      <c r="Y43" s="320"/>
      <c r="Z43" s="320"/>
      <c r="AA43" s="320"/>
      <c r="AB43" s="366"/>
      <c r="AC43" s="360"/>
      <c r="AD43" s="350"/>
      <c r="AE43" s="351"/>
      <c r="AF43" s="351"/>
      <c r="AG43" s="351"/>
      <c r="AH43" s="352"/>
      <c r="AI43" s="328"/>
      <c r="AJ43" s="319"/>
      <c r="AK43" s="320"/>
      <c r="AL43" s="320"/>
      <c r="AM43" s="320"/>
      <c r="AN43" s="321"/>
      <c r="AO43" s="328"/>
      <c r="AP43" s="319"/>
      <c r="AQ43" s="320"/>
      <c r="AR43" s="320"/>
      <c r="AS43" s="320"/>
      <c r="AT43" s="321"/>
    </row>
    <row r="44" spans="1:46" ht="22.05" customHeight="1">
      <c r="A44" s="374"/>
      <c r="B44" s="374"/>
      <c r="C44" s="381"/>
      <c r="D44" s="382"/>
      <c r="E44" s="382"/>
      <c r="F44" s="383"/>
      <c r="G44" s="381"/>
      <c r="H44" s="382"/>
      <c r="I44" s="382"/>
      <c r="J44" s="383"/>
      <c r="K44" s="329"/>
      <c r="L44" s="353"/>
      <c r="M44" s="354"/>
      <c r="N44" s="354"/>
      <c r="O44" s="354"/>
      <c r="P44" s="355"/>
      <c r="Q44" s="329"/>
      <c r="R44" s="353"/>
      <c r="S44" s="354"/>
      <c r="T44" s="354"/>
      <c r="U44" s="354"/>
      <c r="V44" s="355"/>
      <c r="W44" s="329"/>
      <c r="X44" s="322"/>
      <c r="Y44" s="323"/>
      <c r="Z44" s="323"/>
      <c r="AA44" s="323"/>
      <c r="AB44" s="367"/>
      <c r="AC44" s="361"/>
      <c r="AD44" s="353"/>
      <c r="AE44" s="354"/>
      <c r="AF44" s="354"/>
      <c r="AG44" s="354"/>
      <c r="AH44" s="355"/>
      <c r="AI44" s="329"/>
      <c r="AJ44" s="322"/>
      <c r="AK44" s="323"/>
      <c r="AL44" s="323"/>
      <c r="AM44" s="323"/>
      <c r="AN44" s="324"/>
      <c r="AO44" s="329"/>
      <c r="AP44" s="322"/>
      <c r="AQ44" s="323"/>
      <c r="AR44" s="323"/>
      <c r="AS44" s="323"/>
      <c r="AT44" s="324"/>
    </row>
    <row r="45" spans="1:46" ht="22.05" customHeight="1">
      <c r="A45" s="374" t="s">
        <v>265</v>
      </c>
      <c r="B45" s="374"/>
      <c r="C45" s="375" t="str">
        <f>VLOOKUP($AW$1,'6 Factors Definition'!$B$3:$O$84,5,0)</f>
        <v>นำตนเอง และ จัดการกับงานเพื่อบรรลุเป้าหมายที่กำหนดไว้ หรือ ดำเนินงานที่ได้รับมอบหมายให้แล้วเสร็จ</v>
      </c>
      <c r="D45" s="376"/>
      <c r="E45" s="376"/>
      <c r="F45" s="377"/>
      <c r="G45" s="375" t="str">
        <f>VLOOKUP($AW$1,'6 Factors Definition'!$B$3:$O$84,12,0)</f>
        <v xml:space="preserve"> - วางแผน, จัดลำดับความสำคัญ, จัดการกับทรัพยากรที่มีอยู่ และสร้างกระบวนการทำงานที่ดีที่สุดเพื่อบรรลุเป้าหมายร่วม
 - นำตนเอง และผู้อื่นมุ่งสู่การบรรลุเป้าหมายร่วม</v>
      </c>
      <c r="H45" s="376"/>
      <c r="I45" s="376"/>
      <c r="J45" s="377"/>
      <c r="K45" s="327">
        <v>5</v>
      </c>
      <c r="L45" s="384"/>
      <c r="M45" s="385"/>
      <c r="N45" s="385"/>
      <c r="O45" s="385"/>
      <c r="P45" s="386"/>
      <c r="Q45" s="327">
        <v>5</v>
      </c>
      <c r="R45" s="347"/>
      <c r="S45" s="348"/>
      <c r="T45" s="348"/>
      <c r="U45" s="348"/>
      <c r="V45" s="349"/>
      <c r="W45" s="327">
        <v>5</v>
      </c>
      <c r="X45" s="316"/>
      <c r="Y45" s="317"/>
      <c r="Z45" s="317"/>
      <c r="AA45" s="317"/>
      <c r="AB45" s="365"/>
      <c r="AC45" s="359">
        <v>5</v>
      </c>
      <c r="AD45" s="384"/>
      <c r="AE45" s="385"/>
      <c r="AF45" s="385"/>
      <c r="AG45" s="385"/>
      <c r="AH45" s="386"/>
      <c r="AI45" s="327">
        <v>5</v>
      </c>
      <c r="AJ45" s="316"/>
      <c r="AK45" s="317"/>
      <c r="AL45" s="317"/>
      <c r="AM45" s="317"/>
      <c r="AN45" s="318"/>
      <c r="AO45" s="327">
        <v>5</v>
      </c>
      <c r="AP45" s="316"/>
      <c r="AQ45" s="317"/>
      <c r="AR45" s="317"/>
      <c r="AS45" s="317"/>
      <c r="AT45" s="318"/>
    </row>
    <row r="46" spans="1:46" ht="22.05" customHeight="1">
      <c r="A46" s="374"/>
      <c r="B46" s="374"/>
      <c r="C46" s="378"/>
      <c r="D46" s="379"/>
      <c r="E46" s="379"/>
      <c r="F46" s="380"/>
      <c r="G46" s="378"/>
      <c r="H46" s="379"/>
      <c r="I46" s="379"/>
      <c r="J46" s="380"/>
      <c r="K46" s="328"/>
      <c r="L46" s="387"/>
      <c r="M46" s="388"/>
      <c r="N46" s="388"/>
      <c r="O46" s="388"/>
      <c r="P46" s="389"/>
      <c r="Q46" s="328"/>
      <c r="R46" s="350"/>
      <c r="S46" s="351"/>
      <c r="T46" s="351"/>
      <c r="U46" s="351"/>
      <c r="V46" s="352"/>
      <c r="W46" s="328"/>
      <c r="X46" s="319"/>
      <c r="Y46" s="320"/>
      <c r="Z46" s="320"/>
      <c r="AA46" s="320"/>
      <c r="AB46" s="366"/>
      <c r="AC46" s="360"/>
      <c r="AD46" s="387"/>
      <c r="AE46" s="388"/>
      <c r="AF46" s="388"/>
      <c r="AG46" s="388"/>
      <c r="AH46" s="389"/>
      <c r="AI46" s="328"/>
      <c r="AJ46" s="319"/>
      <c r="AK46" s="320"/>
      <c r="AL46" s="320"/>
      <c r="AM46" s="320"/>
      <c r="AN46" s="321"/>
      <c r="AO46" s="328"/>
      <c r="AP46" s="319"/>
      <c r="AQ46" s="320"/>
      <c r="AR46" s="320"/>
      <c r="AS46" s="320"/>
      <c r="AT46" s="321"/>
    </row>
    <row r="47" spans="1:46" ht="22.05" customHeight="1">
      <c r="A47" s="374"/>
      <c r="B47" s="374"/>
      <c r="C47" s="378"/>
      <c r="D47" s="379"/>
      <c r="E47" s="379"/>
      <c r="F47" s="380"/>
      <c r="G47" s="378"/>
      <c r="H47" s="379"/>
      <c r="I47" s="379"/>
      <c r="J47" s="380"/>
      <c r="K47" s="328"/>
      <c r="L47" s="387"/>
      <c r="M47" s="388"/>
      <c r="N47" s="388"/>
      <c r="O47" s="388"/>
      <c r="P47" s="389"/>
      <c r="Q47" s="328"/>
      <c r="R47" s="350"/>
      <c r="S47" s="351"/>
      <c r="T47" s="351"/>
      <c r="U47" s="351"/>
      <c r="V47" s="352"/>
      <c r="W47" s="328"/>
      <c r="X47" s="319"/>
      <c r="Y47" s="320"/>
      <c r="Z47" s="320"/>
      <c r="AA47" s="320"/>
      <c r="AB47" s="366"/>
      <c r="AC47" s="360"/>
      <c r="AD47" s="387"/>
      <c r="AE47" s="388"/>
      <c r="AF47" s="388"/>
      <c r="AG47" s="388"/>
      <c r="AH47" s="389"/>
      <c r="AI47" s="328"/>
      <c r="AJ47" s="319"/>
      <c r="AK47" s="320"/>
      <c r="AL47" s="320"/>
      <c r="AM47" s="320"/>
      <c r="AN47" s="321"/>
      <c r="AO47" s="328"/>
      <c r="AP47" s="319"/>
      <c r="AQ47" s="320"/>
      <c r="AR47" s="320"/>
      <c r="AS47" s="320"/>
      <c r="AT47" s="321"/>
    </row>
    <row r="48" spans="1:46" ht="22.05" customHeight="1">
      <c r="A48" s="374"/>
      <c r="B48" s="374"/>
      <c r="C48" s="378"/>
      <c r="D48" s="379"/>
      <c r="E48" s="379"/>
      <c r="F48" s="380"/>
      <c r="G48" s="378"/>
      <c r="H48" s="379"/>
      <c r="I48" s="379"/>
      <c r="J48" s="380"/>
      <c r="K48" s="328"/>
      <c r="L48" s="387"/>
      <c r="M48" s="388"/>
      <c r="N48" s="388"/>
      <c r="O48" s="388"/>
      <c r="P48" s="389"/>
      <c r="Q48" s="328"/>
      <c r="R48" s="350"/>
      <c r="S48" s="351"/>
      <c r="T48" s="351"/>
      <c r="U48" s="351"/>
      <c r="V48" s="352"/>
      <c r="W48" s="328"/>
      <c r="X48" s="319"/>
      <c r="Y48" s="320"/>
      <c r="Z48" s="320"/>
      <c r="AA48" s="320"/>
      <c r="AB48" s="366"/>
      <c r="AC48" s="360"/>
      <c r="AD48" s="387"/>
      <c r="AE48" s="388"/>
      <c r="AF48" s="388"/>
      <c r="AG48" s="388"/>
      <c r="AH48" s="389"/>
      <c r="AI48" s="328"/>
      <c r="AJ48" s="319"/>
      <c r="AK48" s="320"/>
      <c r="AL48" s="320"/>
      <c r="AM48" s="320"/>
      <c r="AN48" s="321"/>
      <c r="AO48" s="328"/>
      <c r="AP48" s="319"/>
      <c r="AQ48" s="320"/>
      <c r="AR48" s="320"/>
      <c r="AS48" s="320"/>
      <c r="AT48" s="321"/>
    </row>
    <row r="49" spans="1:46" ht="22.05" customHeight="1">
      <c r="A49" s="374"/>
      <c r="B49" s="374"/>
      <c r="C49" s="378"/>
      <c r="D49" s="379"/>
      <c r="E49" s="379"/>
      <c r="F49" s="380"/>
      <c r="G49" s="378"/>
      <c r="H49" s="379"/>
      <c r="I49" s="379"/>
      <c r="J49" s="380"/>
      <c r="K49" s="328"/>
      <c r="L49" s="387"/>
      <c r="M49" s="388"/>
      <c r="N49" s="388"/>
      <c r="O49" s="388"/>
      <c r="P49" s="389"/>
      <c r="Q49" s="328"/>
      <c r="R49" s="350"/>
      <c r="S49" s="351"/>
      <c r="T49" s="351"/>
      <c r="U49" s="351"/>
      <c r="V49" s="352"/>
      <c r="W49" s="328"/>
      <c r="X49" s="319"/>
      <c r="Y49" s="320"/>
      <c r="Z49" s="320"/>
      <c r="AA49" s="320"/>
      <c r="AB49" s="366"/>
      <c r="AC49" s="360"/>
      <c r="AD49" s="387"/>
      <c r="AE49" s="388"/>
      <c r="AF49" s="388"/>
      <c r="AG49" s="388"/>
      <c r="AH49" s="389"/>
      <c r="AI49" s="328"/>
      <c r="AJ49" s="319"/>
      <c r="AK49" s="320"/>
      <c r="AL49" s="320"/>
      <c r="AM49" s="320"/>
      <c r="AN49" s="321"/>
      <c r="AO49" s="328"/>
      <c r="AP49" s="319"/>
      <c r="AQ49" s="320"/>
      <c r="AR49" s="320"/>
      <c r="AS49" s="320"/>
      <c r="AT49" s="321"/>
    </row>
    <row r="50" spans="1:46" ht="22.05" customHeight="1">
      <c r="A50" s="374"/>
      <c r="B50" s="374"/>
      <c r="C50" s="381"/>
      <c r="D50" s="382"/>
      <c r="E50" s="382"/>
      <c r="F50" s="383"/>
      <c r="G50" s="381"/>
      <c r="H50" s="382"/>
      <c r="I50" s="382"/>
      <c r="J50" s="383"/>
      <c r="K50" s="329"/>
      <c r="L50" s="390"/>
      <c r="M50" s="391"/>
      <c r="N50" s="391"/>
      <c r="O50" s="391"/>
      <c r="P50" s="392"/>
      <c r="Q50" s="329"/>
      <c r="R50" s="353"/>
      <c r="S50" s="354"/>
      <c r="T50" s="354"/>
      <c r="U50" s="354"/>
      <c r="V50" s="355"/>
      <c r="W50" s="329"/>
      <c r="X50" s="322"/>
      <c r="Y50" s="323"/>
      <c r="Z50" s="323"/>
      <c r="AA50" s="323"/>
      <c r="AB50" s="367"/>
      <c r="AC50" s="361"/>
      <c r="AD50" s="390"/>
      <c r="AE50" s="391"/>
      <c r="AF50" s="391"/>
      <c r="AG50" s="391"/>
      <c r="AH50" s="392"/>
      <c r="AI50" s="329"/>
      <c r="AJ50" s="322"/>
      <c r="AK50" s="323"/>
      <c r="AL50" s="323"/>
      <c r="AM50" s="323"/>
      <c r="AN50" s="324"/>
      <c r="AO50" s="329"/>
      <c r="AP50" s="322"/>
      <c r="AQ50" s="323"/>
      <c r="AR50" s="323"/>
      <c r="AS50" s="323"/>
      <c r="AT50" s="324"/>
    </row>
    <row r="51" spans="1:46" ht="22.05" customHeight="1">
      <c r="A51" s="374" t="s">
        <v>266</v>
      </c>
      <c r="B51" s="374"/>
      <c r="C51" s="375" t="str">
        <f>VLOOKUP($AW$1,'6 Factors Definition'!$B$3:$O$84,6,0)</f>
        <v>ปรับปรุงงานที่ตนเองเป็นผู้ได้รับมอบหมายโดยตรง  โดยการชี้บ่งวิธีการปรับปรุง หรือ พัฒนาแนวทางใหม่ๆ เพื่อมุ่งไปข้างหน้า</v>
      </c>
      <c r="D51" s="376"/>
      <c r="E51" s="376"/>
      <c r="F51" s="377"/>
      <c r="G51" s="375" t="str">
        <f>VLOOKUP($AW$1,'6 Factors Definition'!$B$3:$O$84,13,0)</f>
        <v xml:space="preserve"> - สร้างแนวคิด หรือ ส่งเสริมผู้อื่นให้ดำเนินการเรื่องการปรับปรุงงาน
 - นำแนวคิดไปลงมือปฏิบัติอย่างเป็นรูปธรรม
</v>
      </c>
      <c r="H51" s="376"/>
      <c r="I51" s="376"/>
      <c r="J51" s="377"/>
      <c r="K51" s="327">
        <v>5</v>
      </c>
      <c r="L51" s="384"/>
      <c r="M51" s="385"/>
      <c r="N51" s="385"/>
      <c r="O51" s="385"/>
      <c r="P51" s="386"/>
      <c r="Q51" s="327">
        <v>5</v>
      </c>
      <c r="R51" s="347"/>
      <c r="S51" s="348"/>
      <c r="T51" s="348"/>
      <c r="U51" s="348"/>
      <c r="V51" s="349"/>
      <c r="W51" s="327">
        <v>5</v>
      </c>
      <c r="X51" s="316"/>
      <c r="Y51" s="317"/>
      <c r="Z51" s="317"/>
      <c r="AA51" s="317"/>
      <c r="AB51" s="365"/>
      <c r="AC51" s="359">
        <v>5</v>
      </c>
      <c r="AD51" s="384"/>
      <c r="AE51" s="385"/>
      <c r="AF51" s="385"/>
      <c r="AG51" s="385"/>
      <c r="AH51" s="386"/>
      <c r="AI51" s="327">
        <v>5</v>
      </c>
      <c r="AJ51" s="316"/>
      <c r="AK51" s="317"/>
      <c r="AL51" s="317"/>
      <c r="AM51" s="317"/>
      <c r="AN51" s="318"/>
      <c r="AO51" s="327">
        <v>5</v>
      </c>
      <c r="AP51" s="316"/>
      <c r="AQ51" s="317"/>
      <c r="AR51" s="317"/>
      <c r="AS51" s="317"/>
      <c r="AT51" s="318"/>
    </row>
    <row r="52" spans="1:46" ht="22.05" customHeight="1">
      <c r="A52" s="374"/>
      <c r="B52" s="374"/>
      <c r="C52" s="378"/>
      <c r="D52" s="379"/>
      <c r="E52" s="379"/>
      <c r="F52" s="380"/>
      <c r="G52" s="378"/>
      <c r="H52" s="379"/>
      <c r="I52" s="379"/>
      <c r="J52" s="380"/>
      <c r="K52" s="328"/>
      <c r="L52" s="387"/>
      <c r="M52" s="388"/>
      <c r="N52" s="388"/>
      <c r="O52" s="388"/>
      <c r="P52" s="389"/>
      <c r="Q52" s="328"/>
      <c r="R52" s="350"/>
      <c r="S52" s="351"/>
      <c r="T52" s="351"/>
      <c r="U52" s="351"/>
      <c r="V52" s="352"/>
      <c r="W52" s="328"/>
      <c r="X52" s="319"/>
      <c r="Y52" s="320"/>
      <c r="Z52" s="320"/>
      <c r="AA52" s="320"/>
      <c r="AB52" s="366"/>
      <c r="AC52" s="360"/>
      <c r="AD52" s="387"/>
      <c r="AE52" s="388"/>
      <c r="AF52" s="388"/>
      <c r="AG52" s="388"/>
      <c r="AH52" s="389"/>
      <c r="AI52" s="328"/>
      <c r="AJ52" s="319"/>
      <c r="AK52" s="320"/>
      <c r="AL52" s="320"/>
      <c r="AM52" s="320"/>
      <c r="AN52" s="321"/>
      <c r="AO52" s="328"/>
      <c r="AP52" s="319"/>
      <c r="AQ52" s="320"/>
      <c r="AR52" s="320"/>
      <c r="AS52" s="320"/>
      <c r="AT52" s="321"/>
    </row>
    <row r="53" spans="1:46" ht="22.05" customHeight="1">
      <c r="A53" s="374"/>
      <c r="B53" s="374"/>
      <c r="C53" s="378"/>
      <c r="D53" s="379"/>
      <c r="E53" s="379"/>
      <c r="F53" s="380"/>
      <c r="G53" s="378"/>
      <c r="H53" s="379"/>
      <c r="I53" s="379"/>
      <c r="J53" s="380"/>
      <c r="K53" s="328"/>
      <c r="L53" s="387"/>
      <c r="M53" s="388"/>
      <c r="N53" s="388"/>
      <c r="O53" s="388"/>
      <c r="P53" s="389"/>
      <c r="Q53" s="328"/>
      <c r="R53" s="350"/>
      <c r="S53" s="351"/>
      <c r="T53" s="351"/>
      <c r="U53" s="351"/>
      <c r="V53" s="352"/>
      <c r="W53" s="328"/>
      <c r="X53" s="319"/>
      <c r="Y53" s="320"/>
      <c r="Z53" s="320"/>
      <c r="AA53" s="320"/>
      <c r="AB53" s="366"/>
      <c r="AC53" s="360"/>
      <c r="AD53" s="387"/>
      <c r="AE53" s="388"/>
      <c r="AF53" s="388"/>
      <c r="AG53" s="388"/>
      <c r="AH53" s="389"/>
      <c r="AI53" s="328"/>
      <c r="AJ53" s="319"/>
      <c r="AK53" s="320"/>
      <c r="AL53" s="320"/>
      <c r="AM53" s="320"/>
      <c r="AN53" s="321"/>
      <c r="AO53" s="328"/>
      <c r="AP53" s="319"/>
      <c r="AQ53" s="320"/>
      <c r="AR53" s="320"/>
      <c r="AS53" s="320"/>
      <c r="AT53" s="321"/>
    </row>
    <row r="54" spans="1:46" ht="22.05" customHeight="1">
      <c r="A54" s="374"/>
      <c r="B54" s="374"/>
      <c r="C54" s="378"/>
      <c r="D54" s="379"/>
      <c r="E54" s="379"/>
      <c r="F54" s="380"/>
      <c r="G54" s="378"/>
      <c r="H54" s="379"/>
      <c r="I54" s="379"/>
      <c r="J54" s="380"/>
      <c r="K54" s="328"/>
      <c r="L54" s="387"/>
      <c r="M54" s="388"/>
      <c r="N54" s="388"/>
      <c r="O54" s="388"/>
      <c r="P54" s="389"/>
      <c r="Q54" s="328"/>
      <c r="R54" s="350"/>
      <c r="S54" s="351"/>
      <c r="T54" s="351"/>
      <c r="U54" s="351"/>
      <c r="V54" s="352"/>
      <c r="W54" s="328"/>
      <c r="X54" s="319"/>
      <c r="Y54" s="320"/>
      <c r="Z54" s="320"/>
      <c r="AA54" s="320"/>
      <c r="AB54" s="366"/>
      <c r="AC54" s="360"/>
      <c r="AD54" s="387"/>
      <c r="AE54" s="388"/>
      <c r="AF54" s="388"/>
      <c r="AG54" s="388"/>
      <c r="AH54" s="389"/>
      <c r="AI54" s="328"/>
      <c r="AJ54" s="319"/>
      <c r="AK54" s="320"/>
      <c r="AL54" s="320"/>
      <c r="AM54" s="320"/>
      <c r="AN54" s="321"/>
      <c r="AO54" s="328"/>
      <c r="AP54" s="319"/>
      <c r="AQ54" s="320"/>
      <c r="AR54" s="320"/>
      <c r="AS54" s="320"/>
      <c r="AT54" s="321"/>
    </row>
    <row r="55" spans="1:46" ht="22.05" customHeight="1">
      <c r="A55" s="374"/>
      <c r="B55" s="374"/>
      <c r="C55" s="378"/>
      <c r="D55" s="379"/>
      <c r="E55" s="379"/>
      <c r="F55" s="380"/>
      <c r="G55" s="378"/>
      <c r="H55" s="379"/>
      <c r="I55" s="379"/>
      <c r="J55" s="380"/>
      <c r="K55" s="328"/>
      <c r="L55" s="387"/>
      <c r="M55" s="388"/>
      <c r="N55" s="388"/>
      <c r="O55" s="388"/>
      <c r="P55" s="389"/>
      <c r="Q55" s="328"/>
      <c r="R55" s="350"/>
      <c r="S55" s="351"/>
      <c r="T55" s="351"/>
      <c r="U55" s="351"/>
      <c r="V55" s="352"/>
      <c r="W55" s="328"/>
      <c r="X55" s="319"/>
      <c r="Y55" s="320"/>
      <c r="Z55" s="320"/>
      <c r="AA55" s="320"/>
      <c r="AB55" s="366"/>
      <c r="AC55" s="360"/>
      <c r="AD55" s="387"/>
      <c r="AE55" s="388"/>
      <c r="AF55" s="388"/>
      <c r="AG55" s="388"/>
      <c r="AH55" s="389"/>
      <c r="AI55" s="328"/>
      <c r="AJ55" s="319"/>
      <c r="AK55" s="320"/>
      <c r="AL55" s="320"/>
      <c r="AM55" s="320"/>
      <c r="AN55" s="321"/>
      <c r="AO55" s="328"/>
      <c r="AP55" s="319"/>
      <c r="AQ55" s="320"/>
      <c r="AR55" s="320"/>
      <c r="AS55" s="320"/>
      <c r="AT55" s="321"/>
    </row>
    <row r="56" spans="1:46" ht="22.05" customHeight="1">
      <c r="A56" s="374"/>
      <c r="B56" s="374"/>
      <c r="C56" s="381"/>
      <c r="D56" s="382"/>
      <c r="E56" s="382"/>
      <c r="F56" s="383"/>
      <c r="G56" s="381"/>
      <c r="H56" s="382"/>
      <c r="I56" s="382"/>
      <c r="J56" s="383"/>
      <c r="K56" s="329"/>
      <c r="L56" s="390"/>
      <c r="M56" s="391"/>
      <c r="N56" s="391"/>
      <c r="O56" s="391"/>
      <c r="P56" s="392"/>
      <c r="Q56" s="329"/>
      <c r="R56" s="353"/>
      <c r="S56" s="354"/>
      <c r="T56" s="354"/>
      <c r="U56" s="354"/>
      <c r="V56" s="355"/>
      <c r="W56" s="329"/>
      <c r="X56" s="322"/>
      <c r="Y56" s="323"/>
      <c r="Z56" s="323"/>
      <c r="AA56" s="323"/>
      <c r="AB56" s="367"/>
      <c r="AC56" s="361"/>
      <c r="AD56" s="390"/>
      <c r="AE56" s="391"/>
      <c r="AF56" s="391"/>
      <c r="AG56" s="391"/>
      <c r="AH56" s="392"/>
      <c r="AI56" s="329"/>
      <c r="AJ56" s="322"/>
      <c r="AK56" s="323"/>
      <c r="AL56" s="323"/>
      <c r="AM56" s="323"/>
      <c r="AN56" s="324"/>
      <c r="AO56" s="329"/>
      <c r="AP56" s="322"/>
      <c r="AQ56" s="323"/>
      <c r="AR56" s="323"/>
      <c r="AS56" s="323"/>
      <c r="AT56" s="324"/>
    </row>
    <row r="57" spans="1:46" ht="22.05" customHeight="1">
      <c r="A57" s="374" t="s">
        <v>267</v>
      </c>
      <c r="B57" s="374"/>
      <c r="C57" s="375" t="str">
        <f>VLOOKUP($AW$1,'6 Factors Definition'!$B$3:$O$84,7,0)</f>
        <v>ลดความเสี่ยงในกระบวนการปฏิบัติงาน  โดยปรับเปลี่ยนให้สอดคล้องกับกฎระเบียบ แนวปฏิบัติ และมาตรฐานในการปฏิบัติงานของบริษัทฯ รวมไปถึงการกำหนดมาตรการป้องกัน</v>
      </c>
      <c r="D57" s="376"/>
      <c r="E57" s="376"/>
      <c r="F57" s="377"/>
      <c r="G57" s="375" t="str">
        <f>VLOOKUP($AW$1,'6 Factors Definition'!$B$3:$O$84,14,0)</f>
        <v xml:space="preserve"> - ปฏิบัติตนสอดคล้องกับกฎระเบียบ และมาตรฐานการปฏิบัติงานเพื่อให้เกิดคุณภาพ
 - ระบุความเสี่ยงในงาน และกำหนดมาตรการป้องกัน</v>
      </c>
      <c r="H57" s="376"/>
      <c r="I57" s="376"/>
      <c r="J57" s="377"/>
      <c r="K57" s="327">
        <v>5</v>
      </c>
      <c r="L57" s="347"/>
      <c r="M57" s="348"/>
      <c r="N57" s="348"/>
      <c r="O57" s="348"/>
      <c r="P57" s="349"/>
      <c r="Q57" s="327">
        <v>5</v>
      </c>
      <c r="R57" s="347"/>
      <c r="S57" s="317"/>
      <c r="T57" s="317"/>
      <c r="U57" s="317"/>
      <c r="V57" s="318"/>
      <c r="W57" s="327">
        <v>5</v>
      </c>
      <c r="X57" s="316"/>
      <c r="Y57" s="317"/>
      <c r="Z57" s="317"/>
      <c r="AA57" s="317"/>
      <c r="AB57" s="365"/>
      <c r="AC57" s="359">
        <v>5</v>
      </c>
      <c r="AD57" s="347"/>
      <c r="AE57" s="348"/>
      <c r="AF57" s="348"/>
      <c r="AG57" s="348"/>
      <c r="AH57" s="349"/>
      <c r="AI57" s="327">
        <v>5</v>
      </c>
      <c r="AJ57" s="316"/>
      <c r="AK57" s="317"/>
      <c r="AL57" s="317"/>
      <c r="AM57" s="317"/>
      <c r="AN57" s="318"/>
      <c r="AO57" s="327">
        <v>5</v>
      </c>
      <c r="AP57" s="316"/>
      <c r="AQ57" s="317"/>
      <c r="AR57" s="317"/>
      <c r="AS57" s="317"/>
      <c r="AT57" s="318"/>
    </row>
    <row r="58" spans="1:46" ht="22.05" customHeight="1">
      <c r="A58" s="374"/>
      <c r="B58" s="374"/>
      <c r="C58" s="378"/>
      <c r="D58" s="379"/>
      <c r="E58" s="379"/>
      <c r="F58" s="380"/>
      <c r="G58" s="378"/>
      <c r="H58" s="379"/>
      <c r="I58" s="379"/>
      <c r="J58" s="380"/>
      <c r="K58" s="328"/>
      <c r="L58" s="350"/>
      <c r="M58" s="351"/>
      <c r="N58" s="351"/>
      <c r="O58" s="351"/>
      <c r="P58" s="352"/>
      <c r="Q58" s="328"/>
      <c r="R58" s="319"/>
      <c r="S58" s="320"/>
      <c r="T58" s="320"/>
      <c r="U58" s="320"/>
      <c r="V58" s="321"/>
      <c r="W58" s="328"/>
      <c r="X58" s="319"/>
      <c r="Y58" s="320"/>
      <c r="Z58" s="320"/>
      <c r="AA58" s="320"/>
      <c r="AB58" s="366"/>
      <c r="AC58" s="360"/>
      <c r="AD58" s="350"/>
      <c r="AE58" s="351"/>
      <c r="AF58" s="351"/>
      <c r="AG58" s="351"/>
      <c r="AH58" s="352"/>
      <c r="AI58" s="328"/>
      <c r="AJ58" s="319"/>
      <c r="AK58" s="320"/>
      <c r="AL58" s="320"/>
      <c r="AM58" s="320"/>
      <c r="AN58" s="321"/>
      <c r="AO58" s="328"/>
      <c r="AP58" s="319"/>
      <c r="AQ58" s="320"/>
      <c r="AR58" s="320"/>
      <c r="AS58" s="320"/>
      <c r="AT58" s="321"/>
    </row>
    <row r="59" spans="1:46" ht="22.05" customHeight="1">
      <c r="A59" s="374"/>
      <c r="B59" s="374"/>
      <c r="C59" s="378"/>
      <c r="D59" s="379"/>
      <c r="E59" s="379"/>
      <c r="F59" s="380"/>
      <c r="G59" s="378"/>
      <c r="H59" s="379"/>
      <c r="I59" s="379"/>
      <c r="J59" s="380"/>
      <c r="K59" s="328"/>
      <c r="L59" s="350"/>
      <c r="M59" s="351"/>
      <c r="N59" s="351"/>
      <c r="O59" s="351"/>
      <c r="P59" s="352"/>
      <c r="Q59" s="328"/>
      <c r="R59" s="319"/>
      <c r="S59" s="320"/>
      <c r="T59" s="320"/>
      <c r="U59" s="320"/>
      <c r="V59" s="321"/>
      <c r="W59" s="328"/>
      <c r="X59" s="319"/>
      <c r="Y59" s="320"/>
      <c r="Z59" s="320"/>
      <c r="AA59" s="320"/>
      <c r="AB59" s="366"/>
      <c r="AC59" s="360"/>
      <c r="AD59" s="350"/>
      <c r="AE59" s="351"/>
      <c r="AF59" s="351"/>
      <c r="AG59" s="351"/>
      <c r="AH59" s="352"/>
      <c r="AI59" s="328"/>
      <c r="AJ59" s="319"/>
      <c r="AK59" s="320"/>
      <c r="AL59" s="320"/>
      <c r="AM59" s="320"/>
      <c r="AN59" s="321"/>
      <c r="AO59" s="328"/>
      <c r="AP59" s="319"/>
      <c r="AQ59" s="320"/>
      <c r="AR59" s="320"/>
      <c r="AS59" s="320"/>
      <c r="AT59" s="321"/>
    </row>
    <row r="60" spans="1:46" ht="22.05" customHeight="1">
      <c r="A60" s="374"/>
      <c r="B60" s="374"/>
      <c r="C60" s="378"/>
      <c r="D60" s="379"/>
      <c r="E60" s="379"/>
      <c r="F60" s="380"/>
      <c r="G60" s="378"/>
      <c r="H60" s="379"/>
      <c r="I60" s="379"/>
      <c r="J60" s="380"/>
      <c r="K60" s="328"/>
      <c r="L60" s="350"/>
      <c r="M60" s="351"/>
      <c r="N60" s="351"/>
      <c r="O60" s="351"/>
      <c r="P60" s="352"/>
      <c r="Q60" s="328"/>
      <c r="R60" s="319"/>
      <c r="S60" s="320"/>
      <c r="T60" s="320"/>
      <c r="U60" s="320"/>
      <c r="V60" s="321"/>
      <c r="W60" s="328"/>
      <c r="X60" s="319"/>
      <c r="Y60" s="320"/>
      <c r="Z60" s="320"/>
      <c r="AA60" s="320"/>
      <c r="AB60" s="366"/>
      <c r="AC60" s="360"/>
      <c r="AD60" s="350"/>
      <c r="AE60" s="351"/>
      <c r="AF60" s="351"/>
      <c r="AG60" s="351"/>
      <c r="AH60" s="352"/>
      <c r="AI60" s="328"/>
      <c r="AJ60" s="319"/>
      <c r="AK60" s="320"/>
      <c r="AL60" s="320"/>
      <c r="AM60" s="320"/>
      <c r="AN60" s="321"/>
      <c r="AO60" s="328"/>
      <c r="AP60" s="319"/>
      <c r="AQ60" s="320"/>
      <c r="AR60" s="320"/>
      <c r="AS60" s="320"/>
      <c r="AT60" s="321"/>
    </row>
    <row r="61" spans="1:46" ht="22.05" customHeight="1">
      <c r="A61" s="374"/>
      <c r="B61" s="374"/>
      <c r="C61" s="378"/>
      <c r="D61" s="379"/>
      <c r="E61" s="379"/>
      <c r="F61" s="380"/>
      <c r="G61" s="378"/>
      <c r="H61" s="379"/>
      <c r="I61" s="379"/>
      <c r="J61" s="380"/>
      <c r="K61" s="328"/>
      <c r="L61" s="350"/>
      <c r="M61" s="351"/>
      <c r="N61" s="351"/>
      <c r="O61" s="351"/>
      <c r="P61" s="352"/>
      <c r="Q61" s="328"/>
      <c r="R61" s="319"/>
      <c r="S61" s="320"/>
      <c r="T61" s="320"/>
      <c r="U61" s="320"/>
      <c r="V61" s="321"/>
      <c r="W61" s="328"/>
      <c r="X61" s="319"/>
      <c r="Y61" s="320"/>
      <c r="Z61" s="320"/>
      <c r="AA61" s="320"/>
      <c r="AB61" s="366"/>
      <c r="AC61" s="360"/>
      <c r="AD61" s="350"/>
      <c r="AE61" s="351"/>
      <c r="AF61" s="351"/>
      <c r="AG61" s="351"/>
      <c r="AH61" s="352"/>
      <c r="AI61" s="328"/>
      <c r="AJ61" s="319"/>
      <c r="AK61" s="320"/>
      <c r="AL61" s="320"/>
      <c r="AM61" s="320"/>
      <c r="AN61" s="321"/>
      <c r="AO61" s="328"/>
      <c r="AP61" s="319"/>
      <c r="AQ61" s="320"/>
      <c r="AR61" s="320"/>
      <c r="AS61" s="320"/>
      <c r="AT61" s="321"/>
    </row>
    <row r="62" spans="1:46" ht="22.05" customHeight="1">
      <c r="A62" s="374"/>
      <c r="B62" s="374"/>
      <c r="C62" s="381"/>
      <c r="D62" s="382"/>
      <c r="E62" s="382"/>
      <c r="F62" s="383"/>
      <c r="G62" s="381"/>
      <c r="H62" s="382"/>
      <c r="I62" s="382"/>
      <c r="J62" s="383"/>
      <c r="K62" s="329"/>
      <c r="L62" s="353"/>
      <c r="M62" s="354"/>
      <c r="N62" s="354"/>
      <c r="O62" s="354"/>
      <c r="P62" s="355"/>
      <c r="Q62" s="329"/>
      <c r="R62" s="322"/>
      <c r="S62" s="323"/>
      <c r="T62" s="323"/>
      <c r="U62" s="323"/>
      <c r="V62" s="324"/>
      <c r="W62" s="329"/>
      <c r="X62" s="322"/>
      <c r="Y62" s="323"/>
      <c r="Z62" s="323"/>
      <c r="AA62" s="323"/>
      <c r="AB62" s="367"/>
      <c r="AC62" s="361"/>
      <c r="AD62" s="353"/>
      <c r="AE62" s="354"/>
      <c r="AF62" s="354"/>
      <c r="AG62" s="354"/>
      <c r="AH62" s="355"/>
      <c r="AI62" s="329"/>
      <c r="AJ62" s="322"/>
      <c r="AK62" s="323"/>
      <c r="AL62" s="323"/>
      <c r="AM62" s="323"/>
      <c r="AN62" s="324"/>
      <c r="AO62" s="329"/>
      <c r="AP62" s="322"/>
      <c r="AQ62" s="323"/>
      <c r="AR62" s="323"/>
      <c r="AS62" s="323"/>
      <c r="AT62" s="324"/>
    </row>
    <row r="63" spans="1:46" s="16" customFormat="1" ht="25.5" customHeight="1">
      <c r="J63" s="17" t="s">
        <v>217</v>
      </c>
      <c r="K63" s="203">
        <f>AVERAGE(K27:K62)</f>
        <v>5</v>
      </c>
      <c r="L63" s="18"/>
      <c r="M63" s="18"/>
      <c r="N63" s="18"/>
      <c r="O63" s="18"/>
      <c r="P63" s="18"/>
      <c r="Q63" s="203">
        <f>AVERAGE(Q27:Q62)</f>
        <v>5</v>
      </c>
      <c r="R63" s="18"/>
      <c r="S63" s="18"/>
      <c r="T63" s="18"/>
      <c r="U63" s="18"/>
      <c r="V63" s="18"/>
      <c r="W63" s="205">
        <f>AVERAGE(W27:W62)</f>
        <v>5</v>
      </c>
      <c r="X63" s="157"/>
      <c r="Y63" s="18"/>
      <c r="Z63" s="18"/>
      <c r="AA63" s="18"/>
      <c r="AB63" s="158"/>
      <c r="AC63" s="204">
        <f>AVERAGE(AC27:AC62)</f>
        <v>5</v>
      </c>
      <c r="AD63" s="18"/>
      <c r="AE63" s="18"/>
      <c r="AF63" s="18"/>
      <c r="AG63" s="18"/>
      <c r="AH63" s="18"/>
      <c r="AI63" s="203">
        <f>AVERAGE(AI27:AI62)</f>
        <v>5</v>
      </c>
      <c r="AJ63" s="18"/>
      <c r="AK63" s="18"/>
      <c r="AL63" s="18"/>
      <c r="AM63" s="18"/>
      <c r="AN63" s="18"/>
      <c r="AO63" s="206">
        <f>AVERAGE(AO27:AO62)</f>
        <v>5</v>
      </c>
      <c r="AP63" s="18"/>
      <c r="AQ63" s="18"/>
      <c r="AR63" s="18"/>
      <c r="AS63" s="18"/>
      <c r="AT63" s="18"/>
    </row>
    <row r="64" spans="1:46" s="16" customFormat="1" ht="25.5" customHeight="1"/>
    <row r="65" spans="1:49" s="16" customFormat="1" ht="30" customHeight="1">
      <c r="A65" s="477" t="s">
        <v>270</v>
      </c>
      <c r="B65" s="478"/>
      <c r="C65" s="478"/>
      <c r="D65" s="478"/>
      <c r="E65" s="478"/>
      <c r="F65" s="478"/>
      <c r="G65" s="478"/>
      <c r="H65" s="478"/>
      <c r="I65" s="478"/>
      <c r="J65" s="479"/>
      <c r="AC65" s="18"/>
      <c r="AW65" s="18"/>
    </row>
    <row r="66" spans="1:49" s="16" customFormat="1" ht="30" customHeight="1">
      <c r="A66" s="480" t="s">
        <v>479</v>
      </c>
      <c r="B66" s="481"/>
      <c r="C66" s="481"/>
      <c r="D66" s="481"/>
      <c r="E66" s="482"/>
      <c r="F66" s="480" t="s">
        <v>480</v>
      </c>
      <c r="G66" s="481"/>
      <c r="H66" s="481"/>
      <c r="I66" s="481"/>
      <c r="J66" s="482"/>
      <c r="L66" s="452" t="s">
        <v>481</v>
      </c>
      <c r="M66" s="453"/>
      <c r="N66" s="453"/>
      <c r="O66" s="453"/>
      <c r="P66" s="453"/>
      <c r="Q66" s="453"/>
      <c r="R66" s="453"/>
      <c r="S66" s="453"/>
      <c r="T66" s="453"/>
      <c r="U66" s="453"/>
      <c r="V66" s="453"/>
      <c r="W66" s="453"/>
      <c r="X66" s="453"/>
      <c r="Y66" s="453"/>
      <c r="Z66" s="453"/>
      <c r="AA66" s="453"/>
      <c r="AB66" s="454"/>
      <c r="AD66" s="368" t="s">
        <v>486</v>
      </c>
      <c r="AE66" s="369"/>
      <c r="AF66" s="369"/>
      <c r="AG66" s="369"/>
      <c r="AH66" s="369"/>
      <c r="AI66" s="369"/>
      <c r="AJ66" s="369"/>
      <c r="AK66" s="369"/>
      <c r="AL66" s="369"/>
      <c r="AM66" s="369"/>
      <c r="AN66" s="369"/>
      <c r="AO66" s="369"/>
      <c r="AP66" s="369"/>
      <c r="AQ66" s="369"/>
      <c r="AR66" s="369"/>
      <c r="AS66" s="369"/>
      <c r="AT66" s="370"/>
    </row>
    <row r="67" spans="1:49" s="16" customFormat="1" ht="30" customHeight="1">
      <c r="A67" s="420" t="s">
        <v>482</v>
      </c>
      <c r="B67" s="371"/>
      <c r="C67" s="372"/>
      <c r="D67" s="372"/>
      <c r="E67" s="373"/>
      <c r="F67" s="420" t="s">
        <v>482</v>
      </c>
      <c r="G67" s="405"/>
      <c r="H67" s="406"/>
      <c r="I67" s="406"/>
      <c r="J67" s="407"/>
      <c r="L67" s="20" t="s">
        <v>10</v>
      </c>
      <c r="M67" s="21"/>
      <c r="N67" s="21"/>
      <c r="O67" s="21"/>
      <c r="P67" s="22"/>
      <c r="Q67" s="371" t="s">
        <v>256</v>
      </c>
      <c r="R67" s="372"/>
      <c r="S67" s="373"/>
      <c r="T67" s="371" t="s">
        <v>12</v>
      </c>
      <c r="U67" s="372"/>
      <c r="V67" s="373"/>
      <c r="W67" s="371" t="s">
        <v>9</v>
      </c>
      <c r="X67" s="372"/>
      <c r="Y67" s="373"/>
      <c r="Z67" s="371" t="s">
        <v>11</v>
      </c>
      <c r="AA67" s="372"/>
      <c r="AB67" s="373"/>
      <c r="AD67" s="20" t="s">
        <v>10</v>
      </c>
      <c r="AE67" s="21"/>
      <c r="AF67" s="21"/>
      <c r="AG67" s="21"/>
      <c r="AH67" s="22"/>
      <c r="AI67" s="371" t="s">
        <v>256</v>
      </c>
      <c r="AJ67" s="372"/>
      <c r="AK67" s="373"/>
      <c r="AL67" s="371" t="s">
        <v>12</v>
      </c>
      <c r="AM67" s="372"/>
      <c r="AN67" s="373"/>
      <c r="AO67" s="371" t="s">
        <v>9</v>
      </c>
      <c r="AP67" s="372"/>
      <c r="AQ67" s="373"/>
      <c r="AR67" s="371" t="s">
        <v>11</v>
      </c>
      <c r="AS67" s="372"/>
      <c r="AT67" s="373"/>
    </row>
    <row r="68" spans="1:49" s="16" customFormat="1" ht="30" customHeight="1">
      <c r="A68" s="421"/>
      <c r="B68" s="414"/>
      <c r="C68" s="415"/>
      <c r="D68" s="415"/>
      <c r="E68" s="416"/>
      <c r="F68" s="421"/>
      <c r="G68" s="408"/>
      <c r="H68" s="409"/>
      <c r="I68" s="409"/>
      <c r="J68" s="410"/>
      <c r="L68" s="23" t="s">
        <v>249</v>
      </c>
      <c r="M68" s="24"/>
      <c r="N68" s="24"/>
      <c r="O68" s="24"/>
      <c r="P68" s="25"/>
      <c r="Q68" s="362" t="s">
        <v>255</v>
      </c>
      <c r="R68" s="363"/>
      <c r="S68" s="364"/>
      <c r="T68" s="362" t="s">
        <v>254</v>
      </c>
      <c r="U68" s="363"/>
      <c r="V68" s="364"/>
      <c r="W68" s="362" t="s">
        <v>214</v>
      </c>
      <c r="X68" s="363"/>
      <c r="Y68" s="364"/>
      <c r="Z68" s="362" t="s">
        <v>257</v>
      </c>
      <c r="AA68" s="363"/>
      <c r="AB68" s="364"/>
      <c r="AD68" s="23" t="s">
        <v>249</v>
      </c>
      <c r="AE68" s="24"/>
      <c r="AF68" s="24"/>
      <c r="AG68" s="24"/>
      <c r="AH68" s="25"/>
      <c r="AI68" s="362" t="s">
        <v>255</v>
      </c>
      <c r="AJ68" s="363"/>
      <c r="AK68" s="364"/>
      <c r="AL68" s="362" t="s">
        <v>254</v>
      </c>
      <c r="AM68" s="363"/>
      <c r="AN68" s="364"/>
      <c r="AO68" s="362" t="s">
        <v>214</v>
      </c>
      <c r="AP68" s="363"/>
      <c r="AQ68" s="364"/>
      <c r="AR68" s="362" t="s">
        <v>257</v>
      </c>
      <c r="AS68" s="363"/>
      <c r="AT68" s="364"/>
    </row>
    <row r="69" spans="1:49" s="16" customFormat="1" ht="30" customHeight="1">
      <c r="A69" s="422"/>
      <c r="B69" s="417"/>
      <c r="C69" s="418"/>
      <c r="D69" s="418"/>
      <c r="E69" s="419"/>
      <c r="F69" s="422"/>
      <c r="G69" s="411"/>
      <c r="H69" s="412"/>
      <c r="I69" s="412"/>
      <c r="J69" s="413"/>
      <c r="L69" s="20" t="s">
        <v>253</v>
      </c>
      <c r="M69" s="21"/>
      <c r="N69" s="21"/>
      <c r="O69" s="21"/>
      <c r="P69" s="22"/>
      <c r="Q69" s="399">
        <f>ROUND('New_MBO Form'!$Y$115,1)</f>
        <v>0</v>
      </c>
      <c r="R69" s="400"/>
      <c r="S69" s="401"/>
      <c r="T69" s="393">
        <f>VLOOKUP($AU$1,'Weight &amp; Grade Def.'!$B$7:$M$46,9,0)</f>
        <v>30</v>
      </c>
      <c r="U69" s="394"/>
      <c r="V69" s="395"/>
      <c r="W69" s="399">
        <f>(Q69*T69)/100</f>
        <v>0</v>
      </c>
      <c r="X69" s="400"/>
      <c r="Y69" s="401"/>
      <c r="Z69" s="435">
        <f>W69+W71</f>
        <v>3.5</v>
      </c>
      <c r="AA69" s="436"/>
      <c r="AB69" s="437"/>
      <c r="AD69" s="20" t="s">
        <v>253</v>
      </c>
      <c r="AE69" s="21"/>
      <c r="AF69" s="21"/>
      <c r="AG69" s="21"/>
      <c r="AH69" s="22"/>
      <c r="AI69" s="399">
        <f>ROUND('New_MBO Form'!$AS$115,1)</f>
        <v>0</v>
      </c>
      <c r="AJ69" s="400"/>
      <c r="AK69" s="401"/>
      <c r="AL69" s="393">
        <f>VLOOKUP($AU$1,'Weight &amp; Grade Def.'!$B$7:$M$46,9,0)</f>
        <v>30</v>
      </c>
      <c r="AM69" s="394"/>
      <c r="AN69" s="395"/>
      <c r="AO69" s="399">
        <f>(AI69*AL69)/100</f>
        <v>0</v>
      </c>
      <c r="AP69" s="400"/>
      <c r="AQ69" s="401"/>
      <c r="AR69" s="435">
        <f>AO69+AO71</f>
        <v>3.5</v>
      </c>
      <c r="AS69" s="436"/>
      <c r="AT69" s="437"/>
    </row>
    <row r="70" spans="1:49" s="16" customFormat="1" ht="30" customHeight="1">
      <c r="A70" s="420" t="s">
        <v>483</v>
      </c>
      <c r="B70" s="371"/>
      <c r="C70" s="372"/>
      <c r="D70" s="372"/>
      <c r="E70" s="373"/>
      <c r="F70" s="420" t="s">
        <v>483</v>
      </c>
      <c r="G70" s="405"/>
      <c r="H70" s="406"/>
      <c r="I70" s="406"/>
      <c r="J70" s="407"/>
      <c r="L70" s="23" t="s">
        <v>250</v>
      </c>
      <c r="M70" s="26"/>
      <c r="N70" s="26"/>
      <c r="O70" s="26"/>
      <c r="P70" s="27"/>
      <c r="Q70" s="402"/>
      <c r="R70" s="403"/>
      <c r="S70" s="404"/>
      <c r="T70" s="396"/>
      <c r="U70" s="397"/>
      <c r="V70" s="398"/>
      <c r="W70" s="402"/>
      <c r="X70" s="403"/>
      <c r="Y70" s="404"/>
      <c r="Z70" s="438"/>
      <c r="AA70" s="439"/>
      <c r="AB70" s="440"/>
      <c r="AD70" s="23" t="s">
        <v>250</v>
      </c>
      <c r="AE70" s="26"/>
      <c r="AF70" s="26"/>
      <c r="AG70" s="26"/>
      <c r="AH70" s="27"/>
      <c r="AI70" s="402"/>
      <c r="AJ70" s="403"/>
      <c r="AK70" s="404"/>
      <c r="AL70" s="396"/>
      <c r="AM70" s="397"/>
      <c r="AN70" s="398"/>
      <c r="AO70" s="402"/>
      <c r="AP70" s="403"/>
      <c r="AQ70" s="404"/>
      <c r="AR70" s="438"/>
      <c r="AS70" s="439"/>
      <c r="AT70" s="440"/>
    </row>
    <row r="71" spans="1:49" s="16" customFormat="1" ht="30" customHeight="1">
      <c r="A71" s="421"/>
      <c r="B71" s="414"/>
      <c r="C71" s="415"/>
      <c r="D71" s="415"/>
      <c r="E71" s="416"/>
      <c r="F71" s="421"/>
      <c r="G71" s="408"/>
      <c r="H71" s="409"/>
      <c r="I71" s="409"/>
      <c r="J71" s="410"/>
      <c r="L71" s="20" t="s">
        <v>251</v>
      </c>
      <c r="M71" s="21"/>
      <c r="N71" s="21"/>
      <c r="O71" s="21"/>
      <c r="P71" s="22"/>
      <c r="Q71" s="399">
        <f>ROUND(W63,1)</f>
        <v>5</v>
      </c>
      <c r="R71" s="400"/>
      <c r="S71" s="401"/>
      <c r="T71" s="393">
        <f>VLOOKUP($AU$1,'Weight &amp; Grade Def.'!$B$7:$M$46,12,0)</f>
        <v>70</v>
      </c>
      <c r="U71" s="394"/>
      <c r="V71" s="395"/>
      <c r="W71" s="399">
        <f>(Q71*T71)/100</f>
        <v>3.5</v>
      </c>
      <c r="X71" s="400"/>
      <c r="Y71" s="401"/>
      <c r="Z71" s="438"/>
      <c r="AA71" s="439"/>
      <c r="AB71" s="440"/>
      <c r="AD71" s="20" t="s">
        <v>251</v>
      </c>
      <c r="AE71" s="21"/>
      <c r="AF71" s="21"/>
      <c r="AG71" s="21"/>
      <c r="AH71" s="22"/>
      <c r="AI71" s="399">
        <f>ROUND(AO63,1)</f>
        <v>5</v>
      </c>
      <c r="AJ71" s="400"/>
      <c r="AK71" s="401"/>
      <c r="AL71" s="393">
        <f>VLOOKUP($AU$1,'Weight &amp; Grade Def.'!$B$7:$M$46,12,0)</f>
        <v>70</v>
      </c>
      <c r="AM71" s="394"/>
      <c r="AN71" s="395"/>
      <c r="AO71" s="399">
        <f>(AI71*AL71)/100</f>
        <v>3.5</v>
      </c>
      <c r="AP71" s="400"/>
      <c r="AQ71" s="401"/>
      <c r="AR71" s="438"/>
      <c r="AS71" s="439"/>
      <c r="AT71" s="440"/>
    </row>
    <row r="72" spans="1:49" s="16" customFormat="1" ht="30" customHeight="1">
      <c r="A72" s="422"/>
      <c r="B72" s="417"/>
      <c r="C72" s="418"/>
      <c r="D72" s="418"/>
      <c r="E72" s="419"/>
      <c r="F72" s="422"/>
      <c r="G72" s="411"/>
      <c r="H72" s="412"/>
      <c r="I72" s="412"/>
      <c r="J72" s="413"/>
      <c r="L72" s="23" t="s">
        <v>252</v>
      </c>
      <c r="M72" s="26"/>
      <c r="N72" s="26"/>
      <c r="O72" s="26"/>
      <c r="P72" s="27"/>
      <c r="Q72" s="402"/>
      <c r="R72" s="403"/>
      <c r="S72" s="404"/>
      <c r="T72" s="396"/>
      <c r="U72" s="397"/>
      <c r="V72" s="398"/>
      <c r="W72" s="402"/>
      <c r="X72" s="403"/>
      <c r="Y72" s="404"/>
      <c r="Z72" s="441"/>
      <c r="AA72" s="442"/>
      <c r="AB72" s="443"/>
      <c r="AD72" s="23" t="s">
        <v>252</v>
      </c>
      <c r="AE72" s="26"/>
      <c r="AF72" s="26"/>
      <c r="AG72" s="26"/>
      <c r="AH72" s="27"/>
      <c r="AI72" s="402"/>
      <c r="AJ72" s="403"/>
      <c r="AK72" s="404"/>
      <c r="AL72" s="396"/>
      <c r="AM72" s="397"/>
      <c r="AN72" s="398"/>
      <c r="AO72" s="402"/>
      <c r="AP72" s="403"/>
      <c r="AQ72" s="404"/>
      <c r="AR72" s="441"/>
      <c r="AS72" s="442"/>
      <c r="AT72" s="443"/>
    </row>
    <row r="73" spans="1:49" ht="25.05" customHeight="1"/>
    <row r="74" spans="1:49" ht="33">
      <c r="A74" s="427" t="s">
        <v>489</v>
      </c>
      <c r="B74" s="427"/>
      <c r="C74" s="427"/>
      <c r="D74" s="427"/>
      <c r="E74" s="427"/>
      <c r="F74" s="427"/>
      <c r="G74" s="427"/>
      <c r="H74" s="427"/>
      <c r="I74" s="427"/>
      <c r="J74" s="427"/>
      <c r="K74" s="427"/>
      <c r="L74" s="427"/>
      <c r="M74" s="427"/>
      <c r="N74" s="427"/>
      <c r="O74" s="427"/>
      <c r="P74" s="427"/>
      <c r="R74" s="427" t="s">
        <v>488</v>
      </c>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row>
    <row r="75" spans="1:49">
      <c r="A75" s="428" t="s">
        <v>221</v>
      </c>
      <c r="B75" s="428"/>
      <c r="C75" s="428"/>
      <c r="D75" s="428"/>
      <c r="E75" s="428"/>
      <c r="F75" s="428"/>
      <c r="G75" s="428"/>
      <c r="H75" s="428"/>
      <c r="I75" s="428"/>
      <c r="J75" s="428"/>
      <c r="K75" s="428"/>
      <c r="L75" s="428"/>
      <c r="M75" s="428"/>
      <c r="N75" s="428"/>
      <c r="O75" s="428"/>
      <c r="P75" s="428"/>
      <c r="R75" s="428" t="s">
        <v>222</v>
      </c>
      <c r="S75" s="428"/>
      <c r="T75" s="428"/>
      <c r="U75" s="428"/>
      <c r="V75" s="428"/>
      <c r="W75" s="428"/>
      <c r="X75" s="428"/>
      <c r="Y75" s="428"/>
      <c r="Z75" s="428"/>
      <c r="AA75" s="428"/>
      <c r="AB75" s="428"/>
      <c r="AC75" s="428"/>
      <c r="AD75" s="428"/>
      <c r="AE75" s="428"/>
      <c r="AF75" s="428"/>
      <c r="AG75" s="428"/>
      <c r="AH75" s="428"/>
      <c r="AI75" s="428"/>
      <c r="AJ75" s="428"/>
      <c r="AK75" s="428"/>
      <c r="AL75" s="428"/>
      <c r="AM75" s="428"/>
      <c r="AN75" s="428"/>
      <c r="AO75" s="428"/>
      <c r="AP75" s="428"/>
      <c r="AQ75" s="428"/>
      <c r="AR75" s="428"/>
      <c r="AS75" s="428"/>
      <c r="AT75" s="428"/>
    </row>
    <row r="76" spans="1:49" ht="30" customHeight="1"/>
    <row r="77" spans="1:49" s="40" customFormat="1" ht="30" customHeight="1">
      <c r="A77" s="444" t="s">
        <v>219</v>
      </c>
      <c r="B77" s="445"/>
      <c r="C77" s="445"/>
      <c r="D77" s="445"/>
      <c r="E77" s="445"/>
      <c r="F77" s="445"/>
      <c r="G77" s="446"/>
      <c r="I77" s="444" t="s">
        <v>220</v>
      </c>
      <c r="J77" s="445"/>
      <c r="K77" s="445"/>
      <c r="L77" s="445"/>
      <c r="M77" s="445"/>
      <c r="N77" s="445"/>
      <c r="O77" s="445"/>
      <c r="P77" s="446"/>
      <c r="R77" s="444" t="s">
        <v>238</v>
      </c>
      <c r="S77" s="445"/>
      <c r="T77" s="445"/>
      <c r="U77" s="445"/>
      <c r="V77" s="445"/>
      <c r="W77" s="445"/>
      <c r="X77" s="445"/>
      <c r="Y77" s="445"/>
      <c r="Z77" s="445"/>
      <c r="AA77" s="445"/>
      <c r="AB77" s="445"/>
      <c r="AC77" s="446"/>
      <c r="AD77" s="444" t="s">
        <v>234</v>
      </c>
      <c r="AE77" s="445"/>
      <c r="AF77" s="445"/>
      <c r="AG77" s="445"/>
      <c r="AH77" s="445"/>
      <c r="AI77" s="445"/>
      <c r="AJ77" s="445"/>
      <c r="AK77" s="445"/>
      <c r="AL77" s="446"/>
      <c r="AM77" s="444" t="s">
        <v>240</v>
      </c>
      <c r="AN77" s="445"/>
      <c r="AO77" s="445"/>
      <c r="AP77" s="446"/>
      <c r="AQ77" s="444" t="s">
        <v>239</v>
      </c>
      <c r="AR77" s="445"/>
      <c r="AS77" s="445"/>
      <c r="AT77" s="446"/>
    </row>
    <row r="78" spans="1:49" s="3" customFormat="1" ht="30" customHeight="1">
      <c r="A78" s="28" t="s">
        <v>5</v>
      </c>
      <c r="B78" s="429" t="s">
        <v>8</v>
      </c>
      <c r="C78" s="430"/>
      <c r="D78" s="430"/>
      <c r="E78" s="431"/>
      <c r="F78" s="429" t="s">
        <v>218</v>
      </c>
      <c r="G78" s="431"/>
      <c r="I78" s="28" t="s">
        <v>5</v>
      </c>
      <c r="J78" s="429" t="s">
        <v>8</v>
      </c>
      <c r="K78" s="430"/>
      <c r="L78" s="430"/>
      <c r="M78" s="431"/>
      <c r="N78" s="429" t="s">
        <v>218</v>
      </c>
      <c r="O78" s="430"/>
      <c r="P78" s="431"/>
      <c r="R78" s="28" t="s">
        <v>5</v>
      </c>
      <c r="S78" s="429" t="s">
        <v>223</v>
      </c>
      <c r="T78" s="430"/>
      <c r="U78" s="430"/>
      <c r="V78" s="430"/>
      <c r="W78" s="430"/>
      <c r="X78" s="431"/>
      <c r="Y78" s="429" t="s">
        <v>224</v>
      </c>
      <c r="Z78" s="430"/>
      <c r="AA78" s="430"/>
      <c r="AB78" s="430"/>
      <c r="AC78" s="431"/>
      <c r="AD78" s="429" t="s">
        <v>225</v>
      </c>
      <c r="AE78" s="430"/>
      <c r="AF78" s="431"/>
      <c r="AG78" s="429" t="s">
        <v>226</v>
      </c>
      <c r="AH78" s="430"/>
      <c r="AI78" s="431"/>
      <c r="AJ78" s="429" t="s">
        <v>227</v>
      </c>
      <c r="AK78" s="430"/>
      <c r="AL78" s="431"/>
      <c r="AM78" s="429" t="s">
        <v>241</v>
      </c>
      <c r="AN78" s="431"/>
      <c r="AO78" s="429" t="s">
        <v>487</v>
      </c>
      <c r="AP78" s="431"/>
      <c r="AQ78" s="429" t="s">
        <v>244</v>
      </c>
      <c r="AR78" s="431"/>
      <c r="AS78" s="429" t="s">
        <v>245</v>
      </c>
      <c r="AT78" s="431"/>
    </row>
    <row r="79" spans="1:49" s="35" customFormat="1" ht="30" customHeight="1">
      <c r="A79" s="34" t="s">
        <v>228</v>
      </c>
      <c r="B79" s="432" t="s">
        <v>230</v>
      </c>
      <c r="C79" s="433"/>
      <c r="D79" s="433"/>
      <c r="E79" s="434"/>
      <c r="F79" s="432" t="s">
        <v>229</v>
      </c>
      <c r="G79" s="434"/>
      <c r="I79" s="34" t="s">
        <v>228</v>
      </c>
      <c r="J79" s="432" t="s">
        <v>231</v>
      </c>
      <c r="K79" s="433"/>
      <c r="L79" s="433"/>
      <c r="M79" s="434"/>
      <c r="N79" s="432" t="s">
        <v>229</v>
      </c>
      <c r="O79" s="433"/>
      <c r="P79" s="434"/>
      <c r="R79" s="36" t="s">
        <v>228</v>
      </c>
      <c r="S79" s="455" t="s">
        <v>232</v>
      </c>
      <c r="T79" s="456"/>
      <c r="U79" s="456"/>
      <c r="V79" s="456"/>
      <c r="W79" s="456"/>
      <c r="X79" s="457"/>
      <c r="Y79" s="455" t="s">
        <v>233</v>
      </c>
      <c r="Z79" s="456"/>
      <c r="AA79" s="456"/>
      <c r="AB79" s="456"/>
      <c r="AC79" s="457"/>
      <c r="AD79" s="432" t="s">
        <v>236</v>
      </c>
      <c r="AE79" s="433"/>
      <c r="AF79" s="434"/>
      <c r="AG79" s="455" t="s">
        <v>237</v>
      </c>
      <c r="AH79" s="456"/>
      <c r="AI79" s="457"/>
      <c r="AJ79" s="432" t="s">
        <v>235</v>
      </c>
      <c r="AK79" s="433"/>
      <c r="AL79" s="434"/>
      <c r="AM79" s="455" t="s">
        <v>242</v>
      </c>
      <c r="AN79" s="457"/>
      <c r="AO79" s="455" t="s">
        <v>243</v>
      </c>
      <c r="AP79" s="457"/>
      <c r="AQ79" s="432" t="s">
        <v>246</v>
      </c>
      <c r="AR79" s="434"/>
      <c r="AS79" s="432" t="s">
        <v>247</v>
      </c>
      <c r="AT79" s="434"/>
    </row>
    <row r="80" spans="1:49" s="3" customFormat="1" ht="70.05" customHeight="1">
      <c r="A80" s="29">
        <v>1</v>
      </c>
      <c r="B80" s="447"/>
      <c r="C80" s="448"/>
      <c r="D80" s="448"/>
      <c r="E80" s="449"/>
      <c r="F80" s="450"/>
      <c r="G80" s="451"/>
      <c r="I80" s="29">
        <v>1</v>
      </c>
      <c r="J80" s="447"/>
      <c r="K80" s="448"/>
      <c r="L80" s="448"/>
      <c r="M80" s="449"/>
      <c r="N80" s="450"/>
      <c r="O80" s="462"/>
      <c r="P80" s="451"/>
      <c r="R80" s="30">
        <v>1</v>
      </c>
      <c r="S80" s="458"/>
      <c r="T80" s="459"/>
      <c r="U80" s="459"/>
      <c r="V80" s="459"/>
      <c r="W80" s="459"/>
      <c r="X80" s="460"/>
      <c r="Y80" s="458"/>
      <c r="Z80" s="459"/>
      <c r="AA80" s="459"/>
      <c r="AB80" s="459"/>
      <c r="AC80" s="460"/>
      <c r="AD80" s="461"/>
      <c r="AE80" s="288"/>
      <c r="AF80" s="289"/>
      <c r="AG80" s="461"/>
      <c r="AH80" s="288"/>
      <c r="AI80" s="289"/>
      <c r="AJ80" s="461"/>
      <c r="AK80" s="288"/>
      <c r="AL80" s="289"/>
      <c r="AM80" s="461"/>
      <c r="AN80" s="289"/>
      <c r="AO80" s="461"/>
      <c r="AP80" s="289"/>
      <c r="AQ80" s="461"/>
      <c r="AR80" s="289"/>
      <c r="AS80" s="461"/>
      <c r="AT80" s="289"/>
    </row>
    <row r="81" spans="1:46" s="3" customFormat="1" ht="70.05" customHeight="1">
      <c r="A81" s="29">
        <v>2</v>
      </c>
      <c r="B81" s="447"/>
      <c r="C81" s="448"/>
      <c r="D81" s="448"/>
      <c r="E81" s="449"/>
      <c r="F81" s="450"/>
      <c r="G81" s="451"/>
      <c r="I81" s="29">
        <v>2</v>
      </c>
      <c r="J81" s="447"/>
      <c r="K81" s="448"/>
      <c r="L81" s="448"/>
      <c r="M81" s="449"/>
      <c r="N81" s="450"/>
      <c r="O81" s="462"/>
      <c r="P81" s="451"/>
      <c r="R81" s="29">
        <v>2</v>
      </c>
      <c r="S81" s="458"/>
      <c r="T81" s="459"/>
      <c r="U81" s="459"/>
      <c r="V81" s="459"/>
      <c r="W81" s="459"/>
      <c r="X81" s="460"/>
      <c r="Y81" s="458"/>
      <c r="Z81" s="459"/>
      <c r="AA81" s="459"/>
      <c r="AB81" s="459"/>
      <c r="AC81" s="460"/>
      <c r="AD81" s="461"/>
      <c r="AE81" s="288"/>
      <c r="AF81" s="289"/>
      <c r="AG81" s="461"/>
      <c r="AH81" s="288"/>
      <c r="AI81" s="289"/>
      <c r="AJ81" s="461"/>
      <c r="AK81" s="288"/>
      <c r="AL81" s="289"/>
      <c r="AM81" s="461"/>
      <c r="AN81" s="289"/>
      <c r="AO81" s="461"/>
      <c r="AP81" s="289"/>
      <c r="AQ81" s="461"/>
      <c r="AR81" s="289"/>
      <c r="AS81" s="461"/>
      <c r="AT81" s="289"/>
    </row>
    <row r="82" spans="1:46" s="3" customFormat="1" ht="70.05" customHeight="1">
      <c r="A82" s="29">
        <v>3</v>
      </c>
      <c r="B82" s="447"/>
      <c r="C82" s="448"/>
      <c r="D82" s="448"/>
      <c r="E82" s="449"/>
      <c r="F82" s="450"/>
      <c r="G82" s="451"/>
      <c r="I82" s="29">
        <v>3</v>
      </c>
      <c r="J82" s="447"/>
      <c r="K82" s="448"/>
      <c r="L82" s="448"/>
      <c r="M82" s="449"/>
      <c r="N82" s="450"/>
      <c r="O82" s="462"/>
      <c r="P82" s="451"/>
      <c r="R82" s="29">
        <v>3</v>
      </c>
      <c r="S82" s="458"/>
      <c r="T82" s="459"/>
      <c r="U82" s="459"/>
      <c r="V82" s="459"/>
      <c r="W82" s="459"/>
      <c r="X82" s="460"/>
      <c r="Y82" s="458"/>
      <c r="Z82" s="459"/>
      <c r="AA82" s="459"/>
      <c r="AB82" s="459"/>
      <c r="AC82" s="460"/>
      <c r="AD82" s="461"/>
      <c r="AE82" s="288"/>
      <c r="AF82" s="289"/>
      <c r="AG82" s="461"/>
      <c r="AH82" s="288"/>
      <c r="AI82" s="289"/>
      <c r="AJ82" s="461"/>
      <c r="AK82" s="288"/>
      <c r="AL82" s="289"/>
      <c r="AM82" s="461"/>
      <c r="AN82" s="289"/>
      <c r="AO82" s="461"/>
      <c r="AP82" s="289"/>
      <c r="AQ82" s="461"/>
      <c r="AR82" s="289"/>
      <c r="AS82" s="461"/>
      <c r="AT82" s="289"/>
    </row>
    <row r="83" spans="1:46" s="3" customFormat="1" ht="70.05" customHeight="1">
      <c r="A83" s="29">
        <v>4</v>
      </c>
      <c r="B83" s="447"/>
      <c r="C83" s="448"/>
      <c r="D83" s="448"/>
      <c r="E83" s="449"/>
      <c r="F83" s="450"/>
      <c r="G83" s="451"/>
      <c r="I83" s="29">
        <v>4</v>
      </c>
      <c r="J83" s="447"/>
      <c r="K83" s="448"/>
      <c r="L83" s="448"/>
      <c r="M83" s="449"/>
      <c r="N83" s="450"/>
      <c r="O83" s="462"/>
      <c r="P83" s="451"/>
      <c r="R83" s="29">
        <v>4</v>
      </c>
      <c r="S83" s="458"/>
      <c r="T83" s="459"/>
      <c r="U83" s="459"/>
      <c r="V83" s="459"/>
      <c r="W83" s="459"/>
      <c r="X83" s="460"/>
      <c r="Y83" s="458"/>
      <c r="Z83" s="459"/>
      <c r="AA83" s="459"/>
      <c r="AB83" s="459"/>
      <c r="AC83" s="460"/>
      <c r="AD83" s="461"/>
      <c r="AE83" s="288"/>
      <c r="AF83" s="289"/>
      <c r="AG83" s="461"/>
      <c r="AH83" s="288"/>
      <c r="AI83" s="289"/>
      <c r="AJ83" s="461"/>
      <c r="AK83" s="288"/>
      <c r="AL83" s="289"/>
      <c r="AM83" s="461"/>
      <c r="AN83" s="289"/>
      <c r="AO83" s="461"/>
      <c r="AP83" s="289"/>
      <c r="AQ83" s="461"/>
      <c r="AR83" s="289"/>
      <c r="AS83" s="461"/>
      <c r="AT83" s="289"/>
    </row>
    <row r="84" spans="1:46" s="3" customFormat="1" ht="70.05" customHeight="1">
      <c r="A84" s="29">
        <v>5</v>
      </c>
      <c r="B84" s="447"/>
      <c r="C84" s="448"/>
      <c r="D84" s="448"/>
      <c r="E84" s="449"/>
      <c r="F84" s="450"/>
      <c r="G84" s="451"/>
      <c r="I84" s="29">
        <v>5</v>
      </c>
      <c r="J84" s="447"/>
      <c r="K84" s="448"/>
      <c r="L84" s="448"/>
      <c r="M84" s="449"/>
      <c r="N84" s="450"/>
      <c r="O84" s="462"/>
      <c r="P84" s="451"/>
      <c r="R84" s="29">
        <v>5</v>
      </c>
      <c r="S84" s="458"/>
      <c r="T84" s="459"/>
      <c r="U84" s="459"/>
      <c r="V84" s="459"/>
      <c r="W84" s="459"/>
      <c r="X84" s="460"/>
      <c r="Y84" s="458"/>
      <c r="Z84" s="459"/>
      <c r="AA84" s="459"/>
      <c r="AB84" s="459"/>
      <c r="AC84" s="460"/>
      <c r="AD84" s="461"/>
      <c r="AE84" s="288"/>
      <c r="AF84" s="289"/>
      <c r="AG84" s="461"/>
      <c r="AH84" s="288"/>
      <c r="AI84" s="289"/>
      <c r="AJ84" s="461"/>
      <c r="AK84" s="288"/>
      <c r="AL84" s="289"/>
      <c r="AM84" s="461"/>
      <c r="AN84" s="289"/>
      <c r="AO84" s="461"/>
      <c r="AP84" s="289"/>
      <c r="AQ84" s="461"/>
      <c r="AR84" s="289"/>
      <c r="AS84" s="461"/>
      <c r="AT84" s="289"/>
    </row>
    <row r="86" spans="1:46">
      <c r="B86" s="31"/>
      <c r="C86" s="32"/>
      <c r="D86" s="32"/>
      <c r="E86" s="32"/>
      <c r="F86" s="32"/>
      <c r="G86" s="32"/>
      <c r="H86" s="32"/>
      <c r="I86" s="32"/>
      <c r="J86" s="32"/>
      <c r="K86" s="32"/>
      <c r="L86" s="33"/>
      <c r="M86" s="32"/>
      <c r="N86" s="32"/>
      <c r="O86" s="32"/>
      <c r="P86" s="32"/>
      <c r="Q86" s="32"/>
      <c r="R86" s="32"/>
      <c r="S86" s="32"/>
    </row>
    <row r="87" spans="1:46">
      <c r="B87" s="31"/>
      <c r="C87" s="32"/>
      <c r="D87" s="32"/>
      <c r="E87" s="32"/>
      <c r="F87" s="32"/>
      <c r="G87" s="32"/>
      <c r="H87" s="32"/>
      <c r="I87" s="32"/>
      <c r="J87" s="32"/>
      <c r="K87" s="32"/>
      <c r="L87" s="33"/>
      <c r="M87" s="32"/>
      <c r="N87" s="32"/>
      <c r="O87" s="32"/>
      <c r="P87" s="32"/>
      <c r="Q87" s="32"/>
      <c r="R87" s="32"/>
      <c r="S87" s="32"/>
    </row>
    <row r="88" spans="1:46">
      <c r="B88" s="31"/>
      <c r="C88" s="32"/>
      <c r="D88" s="32"/>
      <c r="E88" s="32"/>
      <c r="F88" s="32"/>
      <c r="G88" s="32"/>
      <c r="H88" s="32"/>
      <c r="I88" s="32"/>
      <c r="J88" s="32"/>
      <c r="K88" s="32"/>
      <c r="L88" s="33"/>
      <c r="M88" s="32"/>
      <c r="N88" s="32"/>
      <c r="O88" s="32"/>
      <c r="P88" s="32"/>
      <c r="Q88" s="32"/>
      <c r="R88" s="32"/>
      <c r="S88" s="32"/>
    </row>
    <row r="89" spans="1:46">
      <c r="B89" s="31"/>
      <c r="C89" s="32"/>
      <c r="D89" s="32"/>
      <c r="E89" s="32"/>
      <c r="F89" s="32"/>
      <c r="G89" s="32"/>
      <c r="H89" s="32"/>
      <c r="I89" s="32"/>
      <c r="J89" s="32"/>
      <c r="K89" s="32"/>
      <c r="L89" s="33"/>
      <c r="M89" s="32"/>
      <c r="N89" s="32"/>
      <c r="O89" s="32"/>
      <c r="P89" s="32"/>
      <c r="Q89" s="32"/>
      <c r="R89" s="32"/>
      <c r="S89" s="32"/>
    </row>
    <row r="90" spans="1:46">
      <c r="B90" s="31"/>
      <c r="C90" s="32"/>
      <c r="D90" s="32"/>
      <c r="E90" s="32"/>
      <c r="F90" s="32"/>
      <c r="G90" s="32"/>
      <c r="H90" s="32"/>
      <c r="I90" s="32"/>
      <c r="J90" s="32"/>
      <c r="K90" s="32"/>
      <c r="L90" s="33"/>
      <c r="M90" s="32"/>
      <c r="N90" s="32"/>
      <c r="O90" s="32"/>
      <c r="P90" s="32"/>
      <c r="Q90" s="32"/>
      <c r="R90" s="32"/>
      <c r="S90" s="32"/>
    </row>
    <row r="91" spans="1:46">
      <c r="B91" s="31"/>
      <c r="C91" s="32"/>
      <c r="D91" s="32"/>
      <c r="E91" s="32"/>
      <c r="F91" s="32"/>
      <c r="G91" s="32"/>
      <c r="H91" s="32"/>
      <c r="I91" s="32"/>
      <c r="J91" s="32"/>
      <c r="K91" s="32"/>
      <c r="L91" s="33"/>
      <c r="M91" s="32"/>
      <c r="N91" s="32"/>
      <c r="O91" s="32"/>
      <c r="P91" s="32"/>
      <c r="Q91" s="32"/>
      <c r="R91" s="32"/>
      <c r="S91" s="32"/>
    </row>
  </sheetData>
  <sheetProtection formatCells="0" selectLockedCells="1"/>
  <mergeCells count="310">
    <mergeCell ref="AA7:AD7"/>
    <mergeCell ref="AL69:AN70"/>
    <mergeCell ref="F70:F72"/>
    <mergeCell ref="B67:E69"/>
    <mergeCell ref="AL71:AN72"/>
    <mergeCell ref="Z69:AB72"/>
    <mergeCell ref="K27:K32"/>
    <mergeCell ref="K33:K38"/>
    <mergeCell ref="K39:K44"/>
    <mergeCell ref="K45:K50"/>
    <mergeCell ref="AL68:AN68"/>
    <mergeCell ref="Q27:Q32"/>
    <mergeCell ref="Q33:Q38"/>
    <mergeCell ref="A65:J65"/>
    <mergeCell ref="A66:E66"/>
    <mergeCell ref="F66:J66"/>
    <mergeCell ref="T71:V72"/>
    <mergeCell ref="AI68:AK68"/>
    <mergeCell ref="AI69:AK70"/>
    <mergeCell ref="AI71:AK72"/>
    <mergeCell ref="AJ51:AN56"/>
    <mergeCell ref="W33:W38"/>
    <mergeCell ref="W39:W44"/>
    <mergeCell ref="Q69:S70"/>
    <mergeCell ref="A14:B19"/>
    <mergeCell ref="C14:E15"/>
    <mergeCell ref="A23:B26"/>
    <mergeCell ref="C23:F26"/>
    <mergeCell ref="AO68:AQ68"/>
    <mergeCell ref="AD39:AH44"/>
    <mergeCell ref="AJ39:AN44"/>
    <mergeCell ref="AI39:AI44"/>
    <mergeCell ref="AO39:AO44"/>
    <mergeCell ref="AP39:AT44"/>
    <mergeCell ref="AC39:AC44"/>
    <mergeCell ref="Q39:Q44"/>
    <mergeCell ref="AC51:AC56"/>
    <mergeCell ref="AC57:AC62"/>
    <mergeCell ref="R57:V62"/>
    <mergeCell ref="AJ45:AN50"/>
    <mergeCell ref="AP45:AT50"/>
    <mergeCell ref="AD51:AH56"/>
    <mergeCell ref="AI51:AI56"/>
    <mergeCell ref="AI57:AI62"/>
    <mergeCell ref="AC45:AC50"/>
    <mergeCell ref="AI45:AI50"/>
    <mergeCell ref="G27:J32"/>
    <mergeCell ref="A39:B44"/>
    <mergeCell ref="AQ84:AR84"/>
    <mergeCell ref="AS84:AT84"/>
    <mergeCell ref="AO81:AP81"/>
    <mergeCell ref="AQ81:AR81"/>
    <mergeCell ref="AS81:AT81"/>
    <mergeCell ref="AM82:AN82"/>
    <mergeCell ref="AO82:AP82"/>
    <mergeCell ref="AQ82:AR82"/>
    <mergeCell ref="AS82:AT82"/>
    <mergeCell ref="AO83:AP83"/>
    <mergeCell ref="AQ83:AR83"/>
    <mergeCell ref="AS83:AT83"/>
    <mergeCell ref="AM81:AN81"/>
    <mergeCell ref="AM83:AN83"/>
    <mergeCell ref="AD77:AL77"/>
    <mergeCell ref="AM79:AN79"/>
    <mergeCell ref="AO79:AP79"/>
    <mergeCell ref="AD80:AF80"/>
    <mergeCell ref="AG80:AI80"/>
    <mergeCell ref="S83:X83"/>
    <mergeCell ref="S84:X84"/>
    <mergeCell ref="J82:M82"/>
    <mergeCell ref="N82:P82"/>
    <mergeCell ref="J83:M83"/>
    <mergeCell ref="N83:P83"/>
    <mergeCell ref="J84:M84"/>
    <mergeCell ref="N84:P84"/>
    <mergeCell ref="J80:M80"/>
    <mergeCell ref="N80:P80"/>
    <mergeCell ref="J81:M81"/>
    <mergeCell ref="N81:P81"/>
    <mergeCell ref="AM84:AN84"/>
    <mergeCell ref="AO84:AP84"/>
    <mergeCell ref="AJ83:AL83"/>
    <mergeCell ref="Y81:AC81"/>
    <mergeCell ref="Y82:AC82"/>
    <mergeCell ref="AO78:AP78"/>
    <mergeCell ref="Y79:AC79"/>
    <mergeCell ref="Y84:AC84"/>
    <mergeCell ref="AD81:AF81"/>
    <mergeCell ref="AD82:AF82"/>
    <mergeCell ref="AD83:AF83"/>
    <mergeCell ref="AD84:AF84"/>
    <mergeCell ref="AG81:AI81"/>
    <mergeCell ref="AJ81:AL81"/>
    <mergeCell ref="AG82:AI82"/>
    <mergeCell ref="AJ82:AL82"/>
    <mergeCell ref="AG83:AI83"/>
    <mergeCell ref="AG84:AI84"/>
    <mergeCell ref="AJ84:AL84"/>
    <mergeCell ref="S81:X81"/>
    <mergeCell ref="S82:X82"/>
    <mergeCell ref="AG79:AI79"/>
    <mergeCell ref="AJ79:AL79"/>
    <mergeCell ref="B82:E82"/>
    <mergeCell ref="B83:E83"/>
    <mergeCell ref="AQ79:AR79"/>
    <mergeCell ref="AS79:AT79"/>
    <mergeCell ref="AM78:AN78"/>
    <mergeCell ref="Y83:AC83"/>
    <mergeCell ref="AM80:AN80"/>
    <mergeCell ref="AO80:AP80"/>
    <mergeCell ref="AQ80:AR80"/>
    <mergeCell ref="AS80:AT80"/>
    <mergeCell ref="AD79:AF79"/>
    <mergeCell ref="AG78:AI78"/>
    <mergeCell ref="AJ78:AL78"/>
    <mergeCell ref="AJ80:AL80"/>
    <mergeCell ref="B84:E84"/>
    <mergeCell ref="B80:E80"/>
    <mergeCell ref="F82:G82"/>
    <mergeCell ref="F83:G83"/>
    <mergeCell ref="F84:G84"/>
    <mergeCell ref="L66:AB66"/>
    <mergeCell ref="B81:E81"/>
    <mergeCell ref="F79:G79"/>
    <mergeCell ref="F80:G80"/>
    <mergeCell ref="F81:G81"/>
    <mergeCell ref="B78:E78"/>
    <mergeCell ref="B79:E79"/>
    <mergeCell ref="I77:P77"/>
    <mergeCell ref="F78:G78"/>
    <mergeCell ref="A77:G77"/>
    <mergeCell ref="A70:A72"/>
    <mergeCell ref="S78:X78"/>
    <mergeCell ref="S79:X79"/>
    <mergeCell ref="W67:Y67"/>
    <mergeCell ref="Z67:AB67"/>
    <mergeCell ref="Z68:AB68"/>
    <mergeCell ref="Y78:AC78"/>
    <mergeCell ref="Y80:AC80"/>
    <mergeCell ref="S80:X80"/>
    <mergeCell ref="A27:B32"/>
    <mergeCell ref="C27:F32"/>
    <mergeCell ref="J79:M79"/>
    <mergeCell ref="R33:V38"/>
    <mergeCell ref="R74:AT74"/>
    <mergeCell ref="R75:AT75"/>
    <mergeCell ref="AD78:AF78"/>
    <mergeCell ref="AQ78:AR78"/>
    <mergeCell ref="AS78:AT78"/>
    <mergeCell ref="AL67:AN67"/>
    <mergeCell ref="AO67:AQ67"/>
    <mergeCell ref="AR67:AT67"/>
    <mergeCell ref="AR69:AT72"/>
    <mergeCell ref="AM77:AP77"/>
    <mergeCell ref="AQ77:AT77"/>
    <mergeCell ref="R77:AC77"/>
    <mergeCell ref="AP51:AT56"/>
    <mergeCell ref="AO51:AO56"/>
    <mergeCell ref="AO57:AO62"/>
    <mergeCell ref="AO45:AO50"/>
    <mergeCell ref="AD45:AH50"/>
    <mergeCell ref="AO71:AQ72"/>
    <mergeCell ref="N79:P79"/>
    <mergeCell ref="A67:A69"/>
    <mergeCell ref="A33:B38"/>
    <mergeCell ref="C33:F38"/>
    <mergeCell ref="G33:J38"/>
    <mergeCell ref="L33:P38"/>
    <mergeCell ref="A74:P74"/>
    <mergeCell ref="A75:P75"/>
    <mergeCell ref="J78:M78"/>
    <mergeCell ref="N78:P78"/>
    <mergeCell ref="C39:F44"/>
    <mergeCell ref="G39:J44"/>
    <mergeCell ref="A57:B62"/>
    <mergeCell ref="C57:F62"/>
    <mergeCell ref="G57:J62"/>
    <mergeCell ref="L57:P62"/>
    <mergeCell ref="W24:AB24"/>
    <mergeCell ref="AC24:AH24"/>
    <mergeCell ref="X26:AB26"/>
    <mergeCell ref="X33:AB38"/>
    <mergeCell ref="AP26:AT26"/>
    <mergeCell ref="K57:K62"/>
    <mergeCell ref="Q57:Q62"/>
    <mergeCell ref="W57:W62"/>
    <mergeCell ref="Q45:Q50"/>
    <mergeCell ref="W45:W50"/>
    <mergeCell ref="L27:P32"/>
    <mergeCell ref="R27:V32"/>
    <mergeCell ref="X27:AB32"/>
    <mergeCell ref="AD25:AH25"/>
    <mergeCell ref="AD26:AH26"/>
    <mergeCell ref="AD27:AH32"/>
    <mergeCell ref="X25:AB25"/>
    <mergeCell ref="Q24:V24"/>
    <mergeCell ref="R25:V25"/>
    <mergeCell ref="R26:V26"/>
    <mergeCell ref="W27:W32"/>
    <mergeCell ref="L39:P44"/>
    <mergeCell ref="R39:V44"/>
    <mergeCell ref="X39:AB44"/>
    <mergeCell ref="AI67:AK67"/>
    <mergeCell ref="T69:V70"/>
    <mergeCell ref="AO69:AQ70"/>
    <mergeCell ref="G67:J69"/>
    <mergeCell ref="B70:E72"/>
    <mergeCell ref="G70:J72"/>
    <mergeCell ref="Q68:S68"/>
    <mergeCell ref="T68:V68"/>
    <mergeCell ref="Q71:S72"/>
    <mergeCell ref="W69:Y70"/>
    <mergeCell ref="W71:Y72"/>
    <mergeCell ref="F67:F69"/>
    <mergeCell ref="AJ57:AN62"/>
    <mergeCell ref="AP57:AT62"/>
    <mergeCell ref="AR68:AT68"/>
    <mergeCell ref="X57:AB62"/>
    <mergeCell ref="AD57:AH62"/>
    <mergeCell ref="AD66:AT66"/>
    <mergeCell ref="Q67:S67"/>
    <mergeCell ref="T67:V67"/>
    <mergeCell ref="A45:B50"/>
    <mergeCell ref="C45:F50"/>
    <mergeCell ref="G45:J50"/>
    <mergeCell ref="L45:P50"/>
    <mergeCell ref="R45:V50"/>
    <mergeCell ref="X45:AB50"/>
    <mergeCell ref="A51:B56"/>
    <mergeCell ref="C51:F56"/>
    <mergeCell ref="G51:J56"/>
    <mergeCell ref="L51:P56"/>
    <mergeCell ref="R51:V56"/>
    <mergeCell ref="X51:AB56"/>
    <mergeCell ref="K51:K56"/>
    <mergeCell ref="Q51:Q56"/>
    <mergeCell ref="W51:W56"/>
    <mergeCell ref="W68:Y68"/>
    <mergeCell ref="AJ14:AT14"/>
    <mergeCell ref="AS11:AT11"/>
    <mergeCell ref="AJ33:AN38"/>
    <mergeCell ref="AP33:AT38"/>
    <mergeCell ref="AK15:AT15"/>
    <mergeCell ref="AO33:AO38"/>
    <mergeCell ref="AJ27:AN32"/>
    <mergeCell ref="AK17:AT17"/>
    <mergeCell ref="AK18:AT18"/>
    <mergeCell ref="AK19:AT19"/>
    <mergeCell ref="AP27:AT32"/>
    <mergeCell ref="AO27:AO32"/>
    <mergeCell ref="AP25:AT25"/>
    <mergeCell ref="AJ26:AN26"/>
    <mergeCell ref="AK16:AT16"/>
    <mergeCell ref="AC23:AT23"/>
    <mergeCell ref="AD33:AH38"/>
    <mergeCell ref="AI24:AN24"/>
    <mergeCell ref="AO24:AT24"/>
    <mergeCell ref="AJ25:AN25"/>
    <mergeCell ref="AI27:AI32"/>
    <mergeCell ref="AI33:AI38"/>
    <mergeCell ref="AC27:AC32"/>
    <mergeCell ref="AC33:AC38"/>
    <mergeCell ref="F14:F15"/>
    <mergeCell ref="F16:F17"/>
    <mergeCell ref="F18:F19"/>
    <mergeCell ref="G14:AH15"/>
    <mergeCell ref="C16:E17"/>
    <mergeCell ref="K23:AB23"/>
    <mergeCell ref="K24:P24"/>
    <mergeCell ref="C18:E19"/>
    <mergeCell ref="AX1:AX2"/>
    <mergeCell ref="G16:AH17"/>
    <mergeCell ref="G18:AH19"/>
    <mergeCell ref="G23:J26"/>
    <mergeCell ref="AO3:AT3"/>
    <mergeCell ref="AG4:AI4"/>
    <mergeCell ref="AO6:AP6"/>
    <mergeCell ref="AQ6:AR6"/>
    <mergeCell ref="AS6:AT6"/>
    <mergeCell ref="AH7:AI7"/>
    <mergeCell ref="AO7:AP7"/>
    <mergeCell ref="AQ7:AR7"/>
    <mergeCell ref="AS7:AT7"/>
    <mergeCell ref="L25:P25"/>
    <mergeCell ref="L26:P26"/>
    <mergeCell ref="AO11:AP11"/>
    <mergeCell ref="AY1:AY2"/>
    <mergeCell ref="AO9:AP10"/>
    <mergeCell ref="AQ9:AR10"/>
    <mergeCell ref="AS9:AT10"/>
    <mergeCell ref="AO12:AP12"/>
    <mergeCell ref="AQ12:AR12"/>
    <mergeCell ref="AS12:AT12"/>
    <mergeCell ref="AV1:AV2"/>
    <mergeCell ref="AW1:AW2"/>
    <mergeCell ref="A1:AT1"/>
    <mergeCell ref="A2:AT2"/>
    <mergeCell ref="X4:AA4"/>
    <mergeCell ref="AU1:AU2"/>
    <mergeCell ref="B4:H4"/>
    <mergeCell ref="J4:L4"/>
    <mergeCell ref="O4:U4"/>
    <mergeCell ref="C10:M10"/>
    <mergeCell ref="AK3:AN12"/>
    <mergeCell ref="AQ11:AR11"/>
    <mergeCell ref="B7:G7"/>
    <mergeCell ref="L7:X7"/>
    <mergeCell ref="AO8:AT8"/>
    <mergeCell ref="R10:AD10"/>
    <mergeCell ref="AH10:AJ10"/>
  </mergeCells>
  <phoneticPr fontId="10" type="noConversion"/>
  <printOptions horizontalCentered="1" verticalCentered="1"/>
  <pageMargins left="0.49" right="0.28999999999999998" top="0.32" bottom="0.3" header="0.3" footer="0.3"/>
  <pageSetup paperSize="8" scale="3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79A4-C964-4402-A299-02EC2DFD77E9}">
  <sheetPr codeName="Sheet2"/>
  <dimension ref="A1:O84"/>
  <sheetViews>
    <sheetView topLeftCell="K1" zoomScale="60" zoomScaleNormal="60" workbookViewId="0">
      <selection activeCell="L8" sqref="L8"/>
    </sheetView>
  </sheetViews>
  <sheetFormatPr defaultColWidth="9.26953125" defaultRowHeight="25.8"/>
  <cols>
    <col min="1" max="1" width="9.26953125" style="48"/>
    <col min="2" max="2" width="15.36328125" style="50" customWidth="1"/>
    <col min="3" max="8" width="48.7265625" style="42" customWidth="1"/>
    <col min="9" max="9" width="3.453125" style="42" bestFit="1" customWidth="1"/>
    <col min="10" max="15" width="48.7265625" style="42" customWidth="1"/>
    <col min="16" max="16384" width="9.26953125" style="42"/>
  </cols>
  <sheetData>
    <row r="1" spans="1:15">
      <c r="B1" s="59">
        <v>1</v>
      </c>
      <c r="C1" s="58">
        <v>2</v>
      </c>
      <c r="D1" s="59">
        <v>3</v>
      </c>
      <c r="E1" s="58">
        <v>4</v>
      </c>
      <c r="F1" s="59">
        <v>5</v>
      </c>
      <c r="G1" s="58">
        <v>6</v>
      </c>
      <c r="H1" s="59">
        <v>7</v>
      </c>
      <c r="I1" s="63">
        <v>8</v>
      </c>
      <c r="J1" s="59">
        <v>9</v>
      </c>
      <c r="K1" s="58">
        <v>10</v>
      </c>
      <c r="L1" s="59">
        <v>11</v>
      </c>
      <c r="M1" s="58">
        <v>12</v>
      </c>
      <c r="N1" s="59">
        <v>13</v>
      </c>
      <c r="O1" s="58">
        <v>14</v>
      </c>
    </row>
    <row r="2" spans="1:15">
      <c r="C2" s="483" t="s">
        <v>163</v>
      </c>
      <c r="D2" s="484"/>
      <c r="E2" s="484"/>
      <c r="F2" s="484"/>
      <c r="G2" s="484"/>
      <c r="H2" s="485"/>
      <c r="I2" s="45"/>
      <c r="J2" s="483" t="s">
        <v>285</v>
      </c>
      <c r="K2" s="484"/>
      <c r="L2" s="484"/>
      <c r="M2" s="484"/>
      <c r="N2" s="484"/>
      <c r="O2" s="484"/>
    </row>
    <row r="3" spans="1:15" s="57" customFormat="1">
      <c r="A3" s="49" t="s">
        <v>5</v>
      </c>
      <c r="B3" s="41" t="s">
        <v>16</v>
      </c>
      <c r="C3" s="55" t="s">
        <v>46</v>
      </c>
      <c r="D3" s="55" t="s">
        <v>47</v>
      </c>
      <c r="E3" s="55" t="s">
        <v>272</v>
      </c>
      <c r="F3" s="55" t="s">
        <v>48</v>
      </c>
      <c r="G3" s="55" t="s">
        <v>49</v>
      </c>
      <c r="H3" s="55" t="s">
        <v>50</v>
      </c>
      <c r="I3" s="56"/>
      <c r="J3" s="55" t="s">
        <v>46</v>
      </c>
      <c r="K3" s="55" t="s">
        <v>47</v>
      </c>
      <c r="L3" s="55" t="s">
        <v>272</v>
      </c>
      <c r="M3" s="55" t="s">
        <v>48</v>
      </c>
      <c r="N3" s="55" t="s">
        <v>49</v>
      </c>
      <c r="O3" s="55" t="s">
        <v>50</v>
      </c>
    </row>
    <row r="4" spans="1:15" ht="70.05" customHeight="1">
      <c r="A4" s="44">
        <v>1</v>
      </c>
      <c r="B4" s="51" t="s">
        <v>318</v>
      </c>
      <c r="C4" s="43" t="s">
        <v>292</v>
      </c>
      <c r="D4" s="43" t="s">
        <v>287</v>
      </c>
      <c r="E4" s="43" t="s">
        <v>293</v>
      </c>
      <c r="F4" s="43" t="s">
        <v>294</v>
      </c>
      <c r="G4" s="43" t="s">
        <v>295</v>
      </c>
      <c r="H4" s="43" t="s">
        <v>296</v>
      </c>
      <c r="I4" s="45"/>
      <c r="J4" s="43" t="s">
        <v>164</v>
      </c>
      <c r="K4" s="43" t="s">
        <v>165</v>
      </c>
      <c r="L4" s="43" t="s">
        <v>166</v>
      </c>
      <c r="M4" s="43" t="s">
        <v>167</v>
      </c>
      <c r="N4" s="43" t="s">
        <v>168</v>
      </c>
      <c r="O4" s="43" t="s">
        <v>169</v>
      </c>
    </row>
    <row r="5" spans="1:15" ht="70.05" customHeight="1">
      <c r="A5" s="44">
        <v>2</v>
      </c>
      <c r="B5" s="51" t="s">
        <v>319</v>
      </c>
      <c r="C5" s="43" t="s">
        <v>292</v>
      </c>
      <c r="D5" s="43" t="s">
        <v>302</v>
      </c>
      <c r="E5" s="43" t="s">
        <v>303</v>
      </c>
      <c r="F5" s="43" t="s">
        <v>294</v>
      </c>
      <c r="G5" s="43" t="s">
        <v>295</v>
      </c>
      <c r="H5" s="43" t="s">
        <v>304</v>
      </c>
      <c r="I5" s="45"/>
      <c r="J5" s="43" t="s">
        <v>164</v>
      </c>
      <c r="K5" s="43" t="s">
        <v>165</v>
      </c>
      <c r="L5" s="43" t="s">
        <v>166</v>
      </c>
      <c r="M5" s="43" t="s">
        <v>167</v>
      </c>
      <c r="N5" s="43" t="s">
        <v>168</v>
      </c>
      <c r="O5" s="43" t="s">
        <v>169</v>
      </c>
    </row>
    <row r="6" spans="1:15" ht="70.05" customHeight="1">
      <c r="A6" s="44">
        <v>3</v>
      </c>
      <c r="B6" s="52" t="s">
        <v>320</v>
      </c>
      <c r="C6" s="43" t="s">
        <v>307</v>
      </c>
      <c r="D6" s="43" t="s">
        <v>308</v>
      </c>
      <c r="E6" s="43" t="s">
        <v>309</v>
      </c>
      <c r="F6" s="43" t="s">
        <v>310</v>
      </c>
      <c r="G6" s="43" t="s">
        <v>295</v>
      </c>
      <c r="H6" s="43" t="s">
        <v>311</v>
      </c>
      <c r="I6" s="45"/>
      <c r="J6" s="43" t="s">
        <v>164</v>
      </c>
      <c r="K6" s="43" t="s">
        <v>165</v>
      </c>
      <c r="L6" s="43" t="s">
        <v>166</v>
      </c>
      <c r="M6" s="43" t="s">
        <v>167</v>
      </c>
      <c r="N6" s="43" t="s">
        <v>168</v>
      </c>
      <c r="O6" s="43" t="s">
        <v>169</v>
      </c>
    </row>
    <row r="7" spans="1:15" ht="70.05" customHeight="1">
      <c r="A7" s="44">
        <v>4</v>
      </c>
      <c r="B7" s="52" t="s">
        <v>321</v>
      </c>
      <c r="C7" s="43" t="s">
        <v>307</v>
      </c>
      <c r="D7" s="43" t="s">
        <v>308</v>
      </c>
      <c r="E7" s="43" t="s">
        <v>309</v>
      </c>
      <c r="F7" s="43" t="s">
        <v>310</v>
      </c>
      <c r="G7" s="43" t="s">
        <v>295</v>
      </c>
      <c r="H7" s="43" t="s">
        <v>311</v>
      </c>
      <c r="I7" s="45"/>
      <c r="J7" s="43" t="s">
        <v>164</v>
      </c>
      <c r="K7" s="43" t="s">
        <v>165</v>
      </c>
      <c r="L7" s="43" t="s">
        <v>166</v>
      </c>
      <c r="M7" s="43" t="s">
        <v>167</v>
      </c>
      <c r="N7" s="43" t="s">
        <v>168</v>
      </c>
      <c r="O7" s="43" t="s">
        <v>169</v>
      </c>
    </row>
    <row r="8" spans="1:15" ht="70.05" customHeight="1">
      <c r="A8" s="44">
        <v>5</v>
      </c>
      <c r="B8" s="52" t="s">
        <v>322</v>
      </c>
      <c r="C8" s="43" t="s">
        <v>307</v>
      </c>
      <c r="D8" s="43" t="s">
        <v>308</v>
      </c>
      <c r="E8" s="43" t="s">
        <v>309</v>
      </c>
      <c r="F8" s="43" t="s">
        <v>310</v>
      </c>
      <c r="G8" s="43" t="s">
        <v>295</v>
      </c>
      <c r="H8" s="43" t="s">
        <v>311</v>
      </c>
      <c r="I8" s="45"/>
      <c r="J8" s="43" t="s">
        <v>164</v>
      </c>
      <c r="K8" s="43" t="s">
        <v>165</v>
      </c>
      <c r="L8" s="43" t="s">
        <v>166</v>
      </c>
      <c r="M8" s="43" t="s">
        <v>167</v>
      </c>
      <c r="N8" s="43" t="s">
        <v>168</v>
      </c>
      <c r="O8" s="43" t="s">
        <v>169</v>
      </c>
    </row>
    <row r="9" spans="1:15" ht="70.05" customHeight="1">
      <c r="A9" s="44">
        <v>6</v>
      </c>
      <c r="B9" s="51" t="s">
        <v>323</v>
      </c>
      <c r="C9" s="43" t="s">
        <v>292</v>
      </c>
      <c r="D9" s="43" t="s">
        <v>412</v>
      </c>
      <c r="E9" s="43" t="s">
        <v>305</v>
      </c>
      <c r="F9" s="43" t="s">
        <v>294</v>
      </c>
      <c r="G9" s="43" t="s">
        <v>295</v>
      </c>
      <c r="H9" s="43" t="s">
        <v>306</v>
      </c>
      <c r="I9" s="45"/>
      <c r="J9" s="43" t="s">
        <v>164</v>
      </c>
      <c r="K9" s="43" t="s">
        <v>165</v>
      </c>
      <c r="L9" s="43" t="s">
        <v>166</v>
      </c>
      <c r="M9" s="43" t="s">
        <v>167</v>
      </c>
      <c r="N9" s="43" t="s">
        <v>168</v>
      </c>
      <c r="O9" s="43" t="s">
        <v>169</v>
      </c>
    </row>
    <row r="10" spans="1:15" ht="70.05" customHeight="1">
      <c r="A10" s="44">
        <v>7</v>
      </c>
      <c r="B10" s="53" t="s">
        <v>324</v>
      </c>
      <c r="C10" s="43" t="s">
        <v>307</v>
      </c>
      <c r="D10" s="43" t="s">
        <v>308</v>
      </c>
      <c r="E10" s="43" t="s">
        <v>309</v>
      </c>
      <c r="F10" s="43" t="s">
        <v>310</v>
      </c>
      <c r="G10" s="43" t="s">
        <v>295</v>
      </c>
      <c r="H10" s="43" t="s">
        <v>311</v>
      </c>
      <c r="I10" s="45"/>
      <c r="J10" s="43" t="s">
        <v>164</v>
      </c>
      <c r="K10" s="43" t="s">
        <v>165</v>
      </c>
      <c r="L10" s="43" t="s">
        <v>166</v>
      </c>
      <c r="M10" s="43" t="s">
        <v>167</v>
      </c>
      <c r="N10" s="43" t="s">
        <v>168</v>
      </c>
      <c r="O10" s="43" t="s">
        <v>169</v>
      </c>
    </row>
    <row r="11" spans="1:15" ht="70.05" customHeight="1">
      <c r="A11" s="44">
        <v>8</v>
      </c>
      <c r="B11" s="53" t="s">
        <v>325</v>
      </c>
      <c r="C11" s="43" t="s">
        <v>307</v>
      </c>
      <c r="D11" s="43" t="s">
        <v>308</v>
      </c>
      <c r="E11" s="43" t="s">
        <v>309</v>
      </c>
      <c r="F11" s="43" t="s">
        <v>310</v>
      </c>
      <c r="G11" s="43" t="s">
        <v>295</v>
      </c>
      <c r="H11" s="43" t="s">
        <v>311</v>
      </c>
      <c r="I11" s="45"/>
      <c r="J11" s="43" t="s">
        <v>164</v>
      </c>
      <c r="K11" s="43" t="s">
        <v>165</v>
      </c>
      <c r="L11" s="43" t="s">
        <v>166</v>
      </c>
      <c r="M11" s="43" t="s">
        <v>167</v>
      </c>
      <c r="N11" s="43" t="s">
        <v>168</v>
      </c>
      <c r="O11" s="43" t="s">
        <v>169</v>
      </c>
    </row>
    <row r="12" spans="1:15" ht="70.05" customHeight="1">
      <c r="A12" s="44">
        <v>9</v>
      </c>
      <c r="B12" s="53" t="s">
        <v>326</v>
      </c>
      <c r="C12" s="43" t="s">
        <v>307</v>
      </c>
      <c r="D12" s="43" t="s">
        <v>308</v>
      </c>
      <c r="E12" s="43" t="s">
        <v>309</v>
      </c>
      <c r="F12" s="43" t="s">
        <v>310</v>
      </c>
      <c r="G12" s="43" t="s">
        <v>295</v>
      </c>
      <c r="H12" s="43" t="s">
        <v>311</v>
      </c>
      <c r="I12" s="45"/>
      <c r="J12" s="43" t="s">
        <v>164</v>
      </c>
      <c r="K12" s="43" t="s">
        <v>165</v>
      </c>
      <c r="L12" s="43" t="s">
        <v>166</v>
      </c>
      <c r="M12" s="43" t="s">
        <v>167</v>
      </c>
      <c r="N12" s="43" t="s">
        <v>168</v>
      </c>
      <c r="O12" s="43" t="s">
        <v>169</v>
      </c>
    </row>
    <row r="13" spans="1:15" ht="70.05" customHeight="1">
      <c r="A13" s="44">
        <v>10</v>
      </c>
      <c r="B13" s="51" t="s">
        <v>327</v>
      </c>
      <c r="C13" s="43" t="s">
        <v>292</v>
      </c>
      <c r="D13" s="43" t="s">
        <v>411</v>
      </c>
      <c r="E13" s="43" t="s">
        <v>413</v>
      </c>
      <c r="F13" s="43" t="s">
        <v>294</v>
      </c>
      <c r="G13" s="43" t="s">
        <v>295</v>
      </c>
      <c r="H13" s="43" t="s">
        <v>306</v>
      </c>
      <c r="I13" s="45"/>
      <c r="J13" s="43" t="s">
        <v>164</v>
      </c>
      <c r="K13" s="43" t="s">
        <v>165</v>
      </c>
      <c r="L13" s="43" t="s">
        <v>166</v>
      </c>
      <c r="M13" s="43" t="s">
        <v>167</v>
      </c>
      <c r="N13" s="43" t="s">
        <v>168</v>
      </c>
      <c r="O13" s="43" t="s">
        <v>169</v>
      </c>
    </row>
    <row r="14" spans="1:15" ht="70.05" customHeight="1">
      <c r="A14" s="44">
        <v>11</v>
      </c>
      <c r="B14" s="52" t="s">
        <v>328</v>
      </c>
      <c r="C14" s="43" t="s">
        <v>307</v>
      </c>
      <c r="D14" s="43" t="s">
        <v>308</v>
      </c>
      <c r="E14" s="43" t="s">
        <v>309</v>
      </c>
      <c r="F14" s="43" t="s">
        <v>310</v>
      </c>
      <c r="G14" s="43" t="s">
        <v>295</v>
      </c>
      <c r="H14" s="43" t="s">
        <v>311</v>
      </c>
      <c r="I14" s="45"/>
      <c r="J14" s="43" t="s">
        <v>164</v>
      </c>
      <c r="K14" s="43" t="s">
        <v>165</v>
      </c>
      <c r="L14" s="43" t="s">
        <v>166</v>
      </c>
      <c r="M14" s="43" t="s">
        <v>167</v>
      </c>
      <c r="N14" s="43" t="s">
        <v>168</v>
      </c>
      <c r="O14" s="43" t="s">
        <v>169</v>
      </c>
    </row>
    <row r="15" spans="1:15" ht="70.05" customHeight="1">
      <c r="A15" s="44">
        <v>12</v>
      </c>
      <c r="B15" s="52" t="s">
        <v>329</v>
      </c>
      <c r="C15" s="43" t="s">
        <v>307</v>
      </c>
      <c r="D15" s="43" t="s">
        <v>308</v>
      </c>
      <c r="E15" s="43" t="s">
        <v>309</v>
      </c>
      <c r="F15" s="43" t="s">
        <v>310</v>
      </c>
      <c r="G15" s="43" t="s">
        <v>295</v>
      </c>
      <c r="H15" s="43" t="s">
        <v>311</v>
      </c>
      <c r="I15" s="45"/>
      <c r="J15" s="43" t="s">
        <v>164</v>
      </c>
      <c r="K15" s="43" t="s">
        <v>165</v>
      </c>
      <c r="L15" s="43" t="s">
        <v>166</v>
      </c>
      <c r="M15" s="43" t="s">
        <v>167</v>
      </c>
      <c r="N15" s="43" t="s">
        <v>168</v>
      </c>
      <c r="O15" s="43" t="s">
        <v>169</v>
      </c>
    </row>
    <row r="16" spans="1:15" ht="70.05" customHeight="1">
      <c r="A16" s="44">
        <v>13</v>
      </c>
      <c r="B16" s="52" t="s">
        <v>330</v>
      </c>
      <c r="C16" s="43" t="s">
        <v>307</v>
      </c>
      <c r="D16" s="43" t="s">
        <v>308</v>
      </c>
      <c r="E16" s="43" t="s">
        <v>309</v>
      </c>
      <c r="F16" s="43" t="s">
        <v>310</v>
      </c>
      <c r="G16" s="43" t="s">
        <v>295</v>
      </c>
      <c r="H16" s="43" t="s">
        <v>311</v>
      </c>
      <c r="I16" s="45"/>
      <c r="J16" s="43" t="s">
        <v>164</v>
      </c>
      <c r="K16" s="43" t="s">
        <v>165</v>
      </c>
      <c r="L16" s="43" t="s">
        <v>166</v>
      </c>
      <c r="M16" s="43" t="s">
        <v>167</v>
      </c>
      <c r="N16" s="43" t="s">
        <v>168</v>
      </c>
      <c r="O16" s="43" t="s">
        <v>169</v>
      </c>
    </row>
    <row r="17" spans="1:15" ht="70.05" customHeight="1">
      <c r="A17" s="44">
        <v>14</v>
      </c>
      <c r="B17" s="51" t="s">
        <v>331</v>
      </c>
      <c r="C17" s="43" t="s">
        <v>178</v>
      </c>
      <c r="D17" s="43" t="s">
        <v>171</v>
      </c>
      <c r="E17" s="43" t="s">
        <v>172</v>
      </c>
      <c r="F17" s="43" t="s">
        <v>173</v>
      </c>
      <c r="G17" s="43" t="s">
        <v>174</v>
      </c>
      <c r="H17" s="43" t="s">
        <v>175</v>
      </c>
      <c r="I17" s="45"/>
      <c r="J17" s="43" t="s">
        <v>164</v>
      </c>
      <c r="K17" s="43" t="s">
        <v>165</v>
      </c>
      <c r="L17" s="43" t="s">
        <v>166</v>
      </c>
      <c r="M17" s="43" t="s">
        <v>167</v>
      </c>
      <c r="N17" s="43" t="s">
        <v>168</v>
      </c>
      <c r="O17" s="43" t="s">
        <v>169</v>
      </c>
    </row>
    <row r="18" spans="1:15" ht="70.05" customHeight="1">
      <c r="A18" s="44">
        <v>15</v>
      </c>
      <c r="B18" s="52" t="s">
        <v>332</v>
      </c>
      <c r="C18" s="43" t="s">
        <v>178</v>
      </c>
      <c r="D18" s="43" t="s">
        <v>171</v>
      </c>
      <c r="E18" s="43" t="s">
        <v>172</v>
      </c>
      <c r="F18" s="43" t="s">
        <v>173</v>
      </c>
      <c r="G18" s="43" t="s">
        <v>174</v>
      </c>
      <c r="H18" s="43" t="s">
        <v>175</v>
      </c>
      <c r="I18" s="45"/>
      <c r="J18" s="43" t="s">
        <v>176</v>
      </c>
      <c r="K18" s="43" t="s">
        <v>165</v>
      </c>
      <c r="L18" s="43" t="s">
        <v>177</v>
      </c>
      <c r="M18" s="43" t="s">
        <v>167</v>
      </c>
      <c r="N18" s="43" t="s">
        <v>168</v>
      </c>
      <c r="O18" s="43" t="s">
        <v>169</v>
      </c>
    </row>
    <row r="19" spans="1:15" ht="70.05" customHeight="1">
      <c r="A19" s="44">
        <v>16</v>
      </c>
      <c r="B19" s="52" t="s">
        <v>333</v>
      </c>
      <c r="C19" s="43" t="s">
        <v>178</v>
      </c>
      <c r="D19" s="43" t="s">
        <v>171</v>
      </c>
      <c r="E19" s="43" t="s">
        <v>172</v>
      </c>
      <c r="F19" s="43" t="s">
        <v>173</v>
      </c>
      <c r="G19" s="43" t="s">
        <v>174</v>
      </c>
      <c r="H19" s="43" t="s">
        <v>175</v>
      </c>
      <c r="I19" s="45"/>
      <c r="J19" s="43" t="s">
        <v>176</v>
      </c>
      <c r="K19" s="43" t="s">
        <v>165</v>
      </c>
      <c r="L19" s="43" t="s">
        <v>177</v>
      </c>
      <c r="M19" s="43" t="s">
        <v>167</v>
      </c>
      <c r="N19" s="43" t="s">
        <v>168</v>
      </c>
      <c r="O19" s="43" t="s">
        <v>169</v>
      </c>
    </row>
    <row r="20" spans="1:15" ht="70.05" customHeight="1">
      <c r="A20" s="44">
        <v>17</v>
      </c>
      <c r="B20" s="52" t="s">
        <v>334</v>
      </c>
      <c r="C20" s="43" t="s">
        <v>178</v>
      </c>
      <c r="D20" s="43" t="s">
        <v>171</v>
      </c>
      <c r="E20" s="43" t="s">
        <v>172</v>
      </c>
      <c r="F20" s="43" t="s">
        <v>173</v>
      </c>
      <c r="G20" s="43" t="s">
        <v>174</v>
      </c>
      <c r="H20" s="43" t="s">
        <v>175</v>
      </c>
      <c r="I20" s="45"/>
      <c r="J20" s="43" t="s">
        <v>176</v>
      </c>
      <c r="K20" s="43" t="s">
        <v>165</v>
      </c>
      <c r="L20" s="43" t="s">
        <v>177</v>
      </c>
      <c r="M20" s="43" t="s">
        <v>167</v>
      </c>
      <c r="N20" s="43" t="s">
        <v>168</v>
      </c>
      <c r="O20" s="43" t="s">
        <v>169</v>
      </c>
    </row>
    <row r="21" spans="1:15" ht="70.05" customHeight="1">
      <c r="A21" s="44">
        <v>18</v>
      </c>
      <c r="B21" s="52" t="s">
        <v>335</v>
      </c>
      <c r="C21" s="43" t="s">
        <v>178</v>
      </c>
      <c r="D21" s="43" t="s">
        <v>171</v>
      </c>
      <c r="E21" s="43" t="s">
        <v>172</v>
      </c>
      <c r="F21" s="43" t="s">
        <v>173</v>
      </c>
      <c r="G21" s="43" t="s">
        <v>174</v>
      </c>
      <c r="H21" s="43" t="s">
        <v>175</v>
      </c>
      <c r="I21" s="45"/>
      <c r="J21" s="43" t="s">
        <v>176</v>
      </c>
      <c r="K21" s="43" t="s">
        <v>165</v>
      </c>
      <c r="L21" s="43" t="s">
        <v>177</v>
      </c>
      <c r="M21" s="43" t="s">
        <v>167</v>
      </c>
      <c r="N21" s="43" t="s">
        <v>168</v>
      </c>
      <c r="O21" s="43" t="s">
        <v>169</v>
      </c>
    </row>
    <row r="22" spans="1:15" ht="70.05" customHeight="1">
      <c r="A22" s="44">
        <v>19</v>
      </c>
      <c r="B22" s="54" t="s">
        <v>336</v>
      </c>
      <c r="C22" s="43" t="s">
        <v>178</v>
      </c>
      <c r="D22" s="43" t="s">
        <v>171</v>
      </c>
      <c r="E22" s="43" t="s">
        <v>312</v>
      </c>
      <c r="F22" s="43" t="s">
        <v>313</v>
      </c>
      <c r="G22" s="43" t="s">
        <v>314</v>
      </c>
      <c r="H22" s="43" t="s">
        <v>175</v>
      </c>
      <c r="I22" s="45"/>
      <c r="J22" s="43" t="s">
        <v>176</v>
      </c>
      <c r="K22" s="43" t="s">
        <v>315</v>
      </c>
      <c r="L22" s="43" t="s">
        <v>177</v>
      </c>
      <c r="M22" s="43" t="s">
        <v>299</v>
      </c>
      <c r="N22" s="43" t="s">
        <v>300</v>
      </c>
      <c r="O22" s="43" t="s">
        <v>316</v>
      </c>
    </row>
    <row r="23" spans="1:15" ht="70.05" customHeight="1">
      <c r="A23" s="44">
        <v>20</v>
      </c>
      <c r="B23" s="54" t="s">
        <v>337</v>
      </c>
      <c r="C23" s="43" t="s">
        <v>178</v>
      </c>
      <c r="D23" s="43" t="s">
        <v>171</v>
      </c>
      <c r="E23" s="43" t="s">
        <v>312</v>
      </c>
      <c r="F23" s="43" t="s">
        <v>313</v>
      </c>
      <c r="G23" s="43" t="s">
        <v>314</v>
      </c>
      <c r="H23" s="43" t="s">
        <v>175</v>
      </c>
      <c r="I23" s="45"/>
      <c r="J23" s="43" t="s">
        <v>176</v>
      </c>
      <c r="K23" s="43" t="s">
        <v>315</v>
      </c>
      <c r="L23" s="43" t="s">
        <v>177</v>
      </c>
      <c r="M23" s="43" t="s">
        <v>299</v>
      </c>
      <c r="N23" s="43" t="s">
        <v>300</v>
      </c>
      <c r="O23" s="43" t="s">
        <v>316</v>
      </c>
    </row>
    <row r="24" spans="1:15" ht="70.05" customHeight="1">
      <c r="A24" s="44">
        <v>21</v>
      </c>
      <c r="B24" s="54" t="s">
        <v>338</v>
      </c>
      <c r="C24" s="71" t="s">
        <v>178</v>
      </c>
      <c r="D24" s="71" t="s">
        <v>171</v>
      </c>
      <c r="E24" s="43" t="s">
        <v>312</v>
      </c>
      <c r="F24" s="43" t="s">
        <v>313</v>
      </c>
      <c r="G24" s="43" t="s">
        <v>314</v>
      </c>
      <c r="H24" s="43" t="s">
        <v>175</v>
      </c>
      <c r="I24" s="45"/>
      <c r="J24" s="43" t="s">
        <v>176</v>
      </c>
      <c r="K24" s="43" t="s">
        <v>315</v>
      </c>
      <c r="L24" s="43" t="s">
        <v>177</v>
      </c>
      <c r="M24" s="43" t="s">
        <v>299</v>
      </c>
      <c r="N24" s="43" t="s">
        <v>300</v>
      </c>
      <c r="O24" s="43" t="s">
        <v>316</v>
      </c>
    </row>
    <row r="25" spans="1:15" ht="70.05" customHeight="1">
      <c r="A25" s="44">
        <v>22</v>
      </c>
      <c r="B25" s="54" t="s">
        <v>339</v>
      </c>
      <c r="C25" s="43" t="s">
        <v>178</v>
      </c>
      <c r="D25" s="43" t="s">
        <v>171</v>
      </c>
      <c r="E25" s="43" t="s">
        <v>312</v>
      </c>
      <c r="F25" s="43" t="s">
        <v>313</v>
      </c>
      <c r="G25" s="43" t="s">
        <v>314</v>
      </c>
      <c r="H25" s="43" t="s">
        <v>175</v>
      </c>
      <c r="I25" s="45"/>
      <c r="J25" s="43" t="s">
        <v>176</v>
      </c>
      <c r="K25" s="43" t="s">
        <v>315</v>
      </c>
      <c r="L25" s="43" t="s">
        <v>177</v>
      </c>
      <c r="M25" s="43" t="s">
        <v>299</v>
      </c>
      <c r="N25" s="43" t="s">
        <v>300</v>
      </c>
      <c r="O25" s="43" t="s">
        <v>316</v>
      </c>
    </row>
    <row r="26" spans="1:15" ht="70.05" customHeight="1">
      <c r="A26" s="44">
        <v>23</v>
      </c>
      <c r="B26" s="60" t="s">
        <v>340</v>
      </c>
      <c r="C26" s="43" t="s">
        <v>317</v>
      </c>
      <c r="D26" s="43" t="s">
        <v>171</v>
      </c>
      <c r="E26" s="43" t="s">
        <v>312</v>
      </c>
      <c r="F26" s="43" t="s">
        <v>313</v>
      </c>
      <c r="G26" s="43" t="s">
        <v>314</v>
      </c>
      <c r="H26" s="43" t="s">
        <v>175</v>
      </c>
      <c r="I26" s="45"/>
      <c r="J26" s="43" t="s">
        <v>176</v>
      </c>
      <c r="K26" s="43" t="s">
        <v>315</v>
      </c>
      <c r="L26" s="43" t="s">
        <v>177</v>
      </c>
      <c r="M26" s="43" t="s">
        <v>299</v>
      </c>
      <c r="N26" s="43" t="s">
        <v>300</v>
      </c>
      <c r="O26" s="43" t="s">
        <v>316</v>
      </c>
    </row>
    <row r="27" spans="1:15" ht="70.05" customHeight="1">
      <c r="A27" s="44">
        <v>24</v>
      </c>
      <c r="B27" s="60" t="s">
        <v>341</v>
      </c>
      <c r="C27" s="43" t="s">
        <v>317</v>
      </c>
      <c r="D27" s="43" t="s">
        <v>171</v>
      </c>
      <c r="E27" s="43" t="s">
        <v>312</v>
      </c>
      <c r="F27" s="43" t="s">
        <v>313</v>
      </c>
      <c r="G27" s="43" t="s">
        <v>314</v>
      </c>
      <c r="H27" s="43" t="s">
        <v>175</v>
      </c>
      <c r="I27" s="45"/>
      <c r="J27" s="43" t="s">
        <v>176</v>
      </c>
      <c r="K27" s="43" t="s">
        <v>315</v>
      </c>
      <c r="L27" s="43" t="s">
        <v>177</v>
      </c>
      <c r="M27" s="43" t="s">
        <v>299</v>
      </c>
      <c r="N27" s="43" t="s">
        <v>300</v>
      </c>
      <c r="O27" s="43" t="s">
        <v>316</v>
      </c>
    </row>
    <row r="28" spans="1:15" ht="70.05" customHeight="1">
      <c r="A28" s="44">
        <v>25</v>
      </c>
      <c r="B28" s="60" t="s">
        <v>342</v>
      </c>
      <c r="C28" s="43" t="s">
        <v>317</v>
      </c>
      <c r="D28" s="43" t="s">
        <v>171</v>
      </c>
      <c r="E28" s="43" t="s">
        <v>312</v>
      </c>
      <c r="F28" s="43" t="s">
        <v>313</v>
      </c>
      <c r="G28" s="43" t="s">
        <v>314</v>
      </c>
      <c r="H28" s="43" t="s">
        <v>175</v>
      </c>
      <c r="I28" s="45"/>
      <c r="J28" s="43" t="s">
        <v>176</v>
      </c>
      <c r="K28" s="43" t="s">
        <v>315</v>
      </c>
      <c r="L28" s="43" t="s">
        <v>177</v>
      </c>
      <c r="M28" s="43" t="s">
        <v>299</v>
      </c>
      <c r="N28" s="43" t="s">
        <v>300</v>
      </c>
      <c r="O28" s="43" t="s">
        <v>316</v>
      </c>
    </row>
    <row r="29" spans="1:15" ht="70.05" customHeight="1">
      <c r="A29" s="44">
        <v>26</v>
      </c>
      <c r="B29" s="60" t="s">
        <v>343</v>
      </c>
      <c r="C29" s="43" t="s">
        <v>317</v>
      </c>
      <c r="D29" s="43" t="s">
        <v>171</v>
      </c>
      <c r="E29" s="43" t="s">
        <v>312</v>
      </c>
      <c r="F29" s="43" t="s">
        <v>313</v>
      </c>
      <c r="G29" s="43" t="s">
        <v>314</v>
      </c>
      <c r="H29" s="43" t="s">
        <v>175</v>
      </c>
      <c r="I29" s="45"/>
      <c r="J29" s="43" t="s">
        <v>176</v>
      </c>
      <c r="K29" s="43" t="s">
        <v>315</v>
      </c>
      <c r="L29" s="43" t="s">
        <v>177</v>
      </c>
      <c r="M29" s="43" t="s">
        <v>299</v>
      </c>
      <c r="N29" s="43" t="s">
        <v>300</v>
      </c>
      <c r="O29" s="43" t="s">
        <v>316</v>
      </c>
    </row>
    <row r="30" spans="1:15" ht="70.05" customHeight="1">
      <c r="A30" s="44">
        <v>27</v>
      </c>
      <c r="B30" s="60" t="s">
        <v>344</v>
      </c>
      <c r="C30" s="43" t="s">
        <v>317</v>
      </c>
      <c r="D30" s="43" t="s">
        <v>171</v>
      </c>
      <c r="E30" s="43" t="s">
        <v>312</v>
      </c>
      <c r="F30" s="43" t="s">
        <v>313</v>
      </c>
      <c r="G30" s="43" t="s">
        <v>314</v>
      </c>
      <c r="H30" s="43" t="s">
        <v>175</v>
      </c>
      <c r="I30" s="45"/>
      <c r="J30" s="43" t="s">
        <v>176</v>
      </c>
      <c r="K30" s="43" t="s">
        <v>315</v>
      </c>
      <c r="L30" s="43" t="s">
        <v>177</v>
      </c>
      <c r="M30" s="43" t="s">
        <v>299</v>
      </c>
      <c r="N30" s="43" t="s">
        <v>300</v>
      </c>
      <c r="O30" s="43" t="s">
        <v>316</v>
      </c>
    </row>
    <row r="31" spans="1:15" ht="70.05" customHeight="1">
      <c r="A31" s="44">
        <v>28</v>
      </c>
      <c r="B31" s="54" t="s">
        <v>345</v>
      </c>
      <c r="C31" s="43" t="s">
        <v>286</v>
      </c>
      <c r="D31" s="43" t="s">
        <v>171</v>
      </c>
      <c r="E31" s="43" t="s">
        <v>312</v>
      </c>
      <c r="F31" s="43" t="s">
        <v>313</v>
      </c>
      <c r="G31" s="43" t="s">
        <v>314</v>
      </c>
      <c r="H31" s="43" t="s">
        <v>175</v>
      </c>
      <c r="I31" s="45"/>
      <c r="J31" s="43" t="s">
        <v>176</v>
      </c>
      <c r="K31" s="43" t="s">
        <v>315</v>
      </c>
      <c r="L31" s="43" t="s">
        <v>177</v>
      </c>
      <c r="M31" s="43" t="s">
        <v>299</v>
      </c>
      <c r="N31" s="43" t="s">
        <v>300</v>
      </c>
      <c r="O31" s="43" t="s">
        <v>316</v>
      </c>
    </row>
    <row r="32" spans="1:15" ht="70.05" customHeight="1">
      <c r="A32" s="44">
        <v>29</v>
      </c>
      <c r="B32" s="54" t="s">
        <v>346</v>
      </c>
      <c r="C32" s="43" t="s">
        <v>286</v>
      </c>
      <c r="D32" s="43" t="s">
        <v>171</v>
      </c>
      <c r="E32" s="43" t="s">
        <v>312</v>
      </c>
      <c r="F32" s="43" t="s">
        <v>313</v>
      </c>
      <c r="G32" s="43" t="s">
        <v>314</v>
      </c>
      <c r="H32" s="43" t="s">
        <v>175</v>
      </c>
      <c r="I32" s="45"/>
      <c r="J32" s="43" t="s">
        <v>176</v>
      </c>
      <c r="K32" s="43" t="s">
        <v>315</v>
      </c>
      <c r="L32" s="43" t="s">
        <v>177</v>
      </c>
      <c r="M32" s="43" t="s">
        <v>299</v>
      </c>
      <c r="N32" s="43" t="s">
        <v>300</v>
      </c>
      <c r="O32" s="43" t="s">
        <v>316</v>
      </c>
    </row>
    <row r="33" spans="1:15" ht="70.05" customHeight="1">
      <c r="A33" s="44">
        <v>30</v>
      </c>
      <c r="B33" s="54" t="s">
        <v>347</v>
      </c>
      <c r="C33" s="43" t="s">
        <v>286</v>
      </c>
      <c r="D33" s="43" t="s">
        <v>171</v>
      </c>
      <c r="E33" s="43" t="s">
        <v>312</v>
      </c>
      <c r="F33" s="43" t="s">
        <v>313</v>
      </c>
      <c r="G33" s="43" t="s">
        <v>314</v>
      </c>
      <c r="H33" s="43" t="s">
        <v>175</v>
      </c>
      <c r="I33" s="45"/>
      <c r="J33" s="43" t="s">
        <v>176</v>
      </c>
      <c r="K33" s="43" t="s">
        <v>315</v>
      </c>
      <c r="L33" s="43" t="s">
        <v>177</v>
      </c>
      <c r="M33" s="43" t="s">
        <v>299</v>
      </c>
      <c r="N33" s="43" t="s">
        <v>300</v>
      </c>
      <c r="O33" s="43" t="s">
        <v>316</v>
      </c>
    </row>
    <row r="34" spans="1:15" ht="70.05" customHeight="1">
      <c r="A34" s="44">
        <v>31</v>
      </c>
      <c r="B34" s="54" t="s">
        <v>348</v>
      </c>
      <c r="C34" s="43" t="s">
        <v>286</v>
      </c>
      <c r="D34" s="43" t="s">
        <v>171</v>
      </c>
      <c r="E34" s="43" t="s">
        <v>312</v>
      </c>
      <c r="F34" s="43" t="s">
        <v>313</v>
      </c>
      <c r="G34" s="43" t="s">
        <v>314</v>
      </c>
      <c r="H34" s="43" t="s">
        <v>175</v>
      </c>
      <c r="I34" s="45"/>
      <c r="J34" s="43" t="s">
        <v>176</v>
      </c>
      <c r="K34" s="43" t="s">
        <v>315</v>
      </c>
      <c r="L34" s="43" t="s">
        <v>177</v>
      </c>
      <c r="M34" s="43" t="s">
        <v>299</v>
      </c>
      <c r="N34" s="43" t="s">
        <v>300</v>
      </c>
      <c r="O34" s="43" t="s">
        <v>316</v>
      </c>
    </row>
    <row r="35" spans="1:15" ht="70.05" customHeight="1">
      <c r="A35" s="44">
        <v>32</v>
      </c>
      <c r="B35" s="54" t="s">
        <v>349</v>
      </c>
      <c r="C35" s="43" t="s">
        <v>286</v>
      </c>
      <c r="D35" s="43" t="s">
        <v>171</v>
      </c>
      <c r="E35" s="43" t="s">
        <v>312</v>
      </c>
      <c r="F35" s="43" t="s">
        <v>313</v>
      </c>
      <c r="G35" s="43" t="s">
        <v>314</v>
      </c>
      <c r="H35" s="43" t="s">
        <v>175</v>
      </c>
      <c r="I35" s="45"/>
      <c r="J35" s="43" t="s">
        <v>176</v>
      </c>
      <c r="K35" s="43" t="s">
        <v>315</v>
      </c>
      <c r="L35" s="43" t="s">
        <v>177</v>
      </c>
      <c r="M35" s="43" t="s">
        <v>299</v>
      </c>
      <c r="N35" s="43" t="s">
        <v>300</v>
      </c>
      <c r="O35" s="43" t="s">
        <v>316</v>
      </c>
    </row>
    <row r="36" spans="1:15" ht="70.05" customHeight="1">
      <c r="A36" s="44">
        <v>33</v>
      </c>
      <c r="B36" s="60" t="s">
        <v>350</v>
      </c>
      <c r="C36" s="43" t="s">
        <v>286</v>
      </c>
      <c r="D36" s="43" t="s">
        <v>171</v>
      </c>
      <c r="E36" s="43" t="s">
        <v>312</v>
      </c>
      <c r="F36" s="43" t="s">
        <v>313</v>
      </c>
      <c r="G36" s="43" t="s">
        <v>314</v>
      </c>
      <c r="H36" s="43" t="s">
        <v>175</v>
      </c>
      <c r="I36" s="45"/>
      <c r="J36" s="43" t="s">
        <v>176</v>
      </c>
      <c r="K36" s="43" t="s">
        <v>315</v>
      </c>
      <c r="L36" s="43" t="s">
        <v>177</v>
      </c>
      <c r="M36" s="43" t="s">
        <v>299</v>
      </c>
      <c r="N36" s="43" t="s">
        <v>300</v>
      </c>
      <c r="O36" s="43" t="s">
        <v>316</v>
      </c>
    </row>
    <row r="37" spans="1:15" ht="70.05" customHeight="1">
      <c r="A37" s="44">
        <v>34</v>
      </c>
      <c r="B37" s="60" t="s">
        <v>351</v>
      </c>
      <c r="C37" s="43" t="s">
        <v>286</v>
      </c>
      <c r="D37" s="43" t="s">
        <v>171</v>
      </c>
      <c r="E37" s="43" t="s">
        <v>312</v>
      </c>
      <c r="F37" s="43" t="s">
        <v>313</v>
      </c>
      <c r="G37" s="43" t="s">
        <v>314</v>
      </c>
      <c r="H37" s="43" t="s">
        <v>175</v>
      </c>
      <c r="I37" s="45"/>
      <c r="J37" s="43" t="s">
        <v>176</v>
      </c>
      <c r="K37" s="43" t="s">
        <v>315</v>
      </c>
      <c r="L37" s="43" t="s">
        <v>177</v>
      </c>
      <c r="M37" s="43" t="s">
        <v>299</v>
      </c>
      <c r="N37" s="43" t="s">
        <v>300</v>
      </c>
      <c r="O37" s="43" t="s">
        <v>316</v>
      </c>
    </row>
    <row r="38" spans="1:15" ht="70.05" customHeight="1">
      <c r="A38" s="44">
        <v>35</v>
      </c>
      <c r="B38" s="60" t="s">
        <v>352</v>
      </c>
      <c r="C38" s="43" t="s">
        <v>286</v>
      </c>
      <c r="D38" s="43" t="s">
        <v>171</v>
      </c>
      <c r="E38" s="43" t="s">
        <v>312</v>
      </c>
      <c r="F38" s="43" t="s">
        <v>313</v>
      </c>
      <c r="G38" s="43" t="s">
        <v>314</v>
      </c>
      <c r="H38" s="43" t="s">
        <v>175</v>
      </c>
      <c r="I38" s="45"/>
      <c r="J38" s="43" t="s">
        <v>176</v>
      </c>
      <c r="K38" s="43" t="s">
        <v>315</v>
      </c>
      <c r="L38" s="43" t="s">
        <v>177</v>
      </c>
      <c r="M38" s="43" t="s">
        <v>299</v>
      </c>
      <c r="N38" s="43" t="s">
        <v>300</v>
      </c>
      <c r="O38" s="43" t="s">
        <v>316</v>
      </c>
    </row>
    <row r="39" spans="1:15" ht="70.05" customHeight="1">
      <c r="A39" s="44">
        <v>36</v>
      </c>
      <c r="B39" s="54" t="s">
        <v>353</v>
      </c>
      <c r="C39" s="43" t="s">
        <v>286</v>
      </c>
      <c r="D39" s="43" t="s">
        <v>171</v>
      </c>
      <c r="E39" s="43" t="s">
        <v>288</v>
      </c>
      <c r="F39" s="64" t="s">
        <v>445</v>
      </c>
      <c r="G39" s="43" t="s">
        <v>290</v>
      </c>
      <c r="H39" s="43" t="s">
        <v>291</v>
      </c>
      <c r="I39" s="45"/>
      <c r="J39" s="43" t="s">
        <v>176</v>
      </c>
      <c r="K39" s="43" t="s">
        <v>297</v>
      </c>
      <c r="L39" s="43" t="s">
        <v>298</v>
      </c>
      <c r="M39" s="43" t="s">
        <v>299</v>
      </c>
      <c r="N39" s="43" t="s">
        <v>300</v>
      </c>
      <c r="O39" s="43" t="s">
        <v>301</v>
      </c>
    </row>
    <row r="40" spans="1:15" ht="70.05" customHeight="1">
      <c r="A40" s="44">
        <v>37</v>
      </c>
      <c r="B40" s="54" t="s">
        <v>354</v>
      </c>
      <c r="C40" s="43" t="s">
        <v>286</v>
      </c>
      <c r="D40" s="43" t="s">
        <v>171</v>
      </c>
      <c r="E40" s="43" t="s">
        <v>288</v>
      </c>
      <c r="F40" s="43" t="s">
        <v>289</v>
      </c>
      <c r="G40" s="43" t="s">
        <v>290</v>
      </c>
      <c r="H40" s="43" t="s">
        <v>291</v>
      </c>
      <c r="I40" s="45"/>
      <c r="J40" s="43" t="s">
        <v>176</v>
      </c>
      <c r="K40" s="43" t="s">
        <v>297</v>
      </c>
      <c r="L40" s="43" t="s">
        <v>298</v>
      </c>
      <c r="M40" s="43" t="s">
        <v>299</v>
      </c>
      <c r="N40" s="43" t="s">
        <v>300</v>
      </c>
      <c r="O40" s="43" t="s">
        <v>301</v>
      </c>
    </row>
    <row r="41" spans="1:15" ht="70.05" customHeight="1">
      <c r="A41" s="44">
        <v>38</v>
      </c>
      <c r="B41" s="54" t="s">
        <v>355</v>
      </c>
      <c r="C41" s="43" t="s">
        <v>286</v>
      </c>
      <c r="D41" s="43" t="s">
        <v>171</v>
      </c>
      <c r="E41" s="43" t="s">
        <v>288</v>
      </c>
      <c r="F41" s="43" t="s">
        <v>289</v>
      </c>
      <c r="G41" s="43" t="s">
        <v>290</v>
      </c>
      <c r="H41" s="43" t="s">
        <v>291</v>
      </c>
      <c r="I41" s="45"/>
      <c r="J41" s="43" t="s">
        <v>176</v>
      </c>
      <c r="K41" s="43" t="s">
        <v>297</v>
      </c>
      <c r="L41" s="43" t="s">
        <v>298</v>
      </c>
      <c r="M41" s="43" t="s">
        <v>299</v>
      </c>
      <c r="N41" s="43" t="s">
        <v>300</v>
      </c>
      <c r="O41" s="43" t="s">
        <v>301</v>
      </c>
    </row>
    <row r="42" spans="1:15" ht="70.05" customHeight="1">
      <c r="A42" s="44">
        <v>39</v>
      </c>
      <c r="B42" s="60" t="s">
        <v>356</v>
      </c>
      <c r="C42" s="43" t="s">
        <v>286</v>
      </c>
      <c r="D42" s="43" t="s">
        <v>171</v>
      </c>
      <c r="E42" s="43" t="s">
        <v>288</v>
      </c>
      <c r="F42" s="43" t="s">
        <v>289</v>
      </c>
      <c r="G42" s="43" t="s">
        <v>290</v>
      </c>
      <c r="H42" s="43" t="s">
        <v>291</v>
      </c>
      <c r="I42" s="45"/>
      <c r="J42" s="43" t="s">
        <v>176</v>
      </c>
      <c r="K42" s="43" t="s">
        <v>297</v>
      </c>
      <c r="L42" s="43" t="s">
        <v>298</v>
      </c>
      <c r="M42" s="43" t="s">
        <v>299</v>
      </c>
      <c r="N42" s="43" t="s">
        <v>300</v>
      </c>
      <c r="O42" s="43" t="s">
        <v>301</v>
      </c>
    </row>
    <row r="43" spans="1:15" ht="70.05" customHeight="1">
      <c r="A43" s="44">
        <v>40</v>
      </c>
      <c r="B43" s="60" t="s">
        <v>357</v>
      </c>
      <c r="C43" s="43" t="s">
        <v>286</v>
      </c>
      <c r="D43" s="43" t="s">
        <v>171</v>
      </c>
      <c r="E43" s="43" t="s">
        <v>288</v>
      </c>
      <c r="F43" s="43" t="s">
        <v>289</v>
      </c>
      <c r="G43" s="43" t="s">
        <v>290</v>
      </c>
      <c r="H43" s="43" t="s">
        <v>291</v>
      </c>
      <c r="I43" s="45"/>
      <c r="J43" s="43" t="s">
        <v>176</v>
      </c>
      <c r="K43" s="43" t="s">
        <v>297</v>
      </c>
      <c r="L43" s="43" t="s">
        <v>298</v>
      </c>
      <c r="M43" s="43" t="s">
        <v>299</v>
      </c>
      <c r="N43" s="43" t="s">
        <v>300</v>
      </c>
      <c r="O43" s="43" t="s">
        <v>301</v>
      </c>
    </row>
    <row r="44" spans="1:15" ht="20.55" customHeight="1">
      <c r="A44" s="47"/>
      <c r="B44" s="61"/>
      <c r="C44" s="62"/>
      <c r="D44" s="62"/>
      <c r="E44" s="62"/>
      <c r="F44" s="62"/>
      <c r="G44" s="62"/>
      <c r="H44" s="62"/>
      <c r="I44" s="45"/>
      <c r="J44" s="62"/>
      <c r="K44" s="62"/>
      <c r="L44" s="62"/>
      <c r="M44" s="62"/>
      <c r="N44" s="62"/>
      <c r="O44" s="62"/>
    </row>
    <row r="45" spans="1:15" ht="78">
      <c r="A45" s="44">
        <v>1</v>
      </c>
      <c r="B45" s="51" t="s">
        <v>359</v>
      </c>
      <c r="C45" s="43" t="s">
        <v>405</v>
      </c>
      <c r="D45" s="43" t="s">
        <v>400</v>
      </c>
      <c r="E45" s="43" t="s">
        <v>428</v>
      </c>
      <c r="F45" s="43" t="s">
        <v>401</v>
      </c>
      <c r="G45" s="43" t="s">
        <v>442</v>
      </c>
      <c r="H45" s="43" t="s">
        <v>440</v>
      </c>
      <c r="I45" s="45"/>
      <c r="J45" s="64" t="s">
        <v>399</v>
      </c>
      <c r="K45" s="43" t="s">
        <v>402</v>
      </c>
      <c r="L45" s="43" t="s">
        <v>450</v>
      </c>
      <c r="M45" s="43" t="s">
        <v>435</v>
      </c>
      <c r="N45" s="43" t="s">
        <v>403</v>
      </c>
      <c r="O45" s="43" t="s">
        <v>404</v>
      </c>
    </row>
    <row r="46" spans="1:15" ht="78">
      <c r="A46" s="44">
        <v>2</v>
      </c>
      <c r="B46" s="51" t="s">
        <v>360</v>
      </c>
      <c r="C46" s="43" t="s">
        <v>405</v>
      </c>
      <c r="D46" s="43" t="s">
        <v>406</v>
      </c>
      <c r="E46" s="43" t="s">
        <v>427</v>
      </c>
      <c r="F46" s="43" t="s">
        <v>401</v>
      </c>
      <c r="G46" s="43" t="s">
        <v>442</v>
      </c>
      <c r="H46" s="43" t="s">
        <v>440</v>
      </c>
      <c r="I46" s="45"/>
      <c r="J46" s="64" t="s">
        <v>399</v>
      </c>
      <c r="K46" s="43" t="s">
        <v>402</v>
      </c>
      <c r="L46" s="43" t="s">
        <v>450</v>
      </c>
      <c r="M46" s="43" t="s">
        <v>435</v>
      </c>
      <c r="N46" s="43" t="s">
        <v>403</v>
      </c>
      <c r="O46" s="43" t="s">
        <v>404</v>
      </c>
    </row>
    <row r="47" spans="1:15" ht="70.05" customHeight="1">
      <c r="A47" s="44">
        <v>3</v>
      </c>
      <c r="B47" s="52" t="s">
        <v>361</v>
      </c>
      <c r="C47" s="43" t="s">
        <v>407</v>
      </c>
      <c r="D47" s="43" t="s">
        <v>408</v>
      </c>
      <c r="E47" s="43" t="s">
        <v>429</v>
      </c>
      <c r="F47" s="43" t="s">
        <v>409</v>
      </c>
      <c r="G47" s="43" t="s">
        <v>442</v>
      </c>
      <c r="H47" s="43" t="s">
        <v>440</v>
      </c>
      <c r="I47" s="45"/>
      <c r="J47" s="64" t="s">
        <v>399</v>
      </c>
      <c r="K47" s="43" t="s">
        <v>402</v>
      </c>
      <c r="L47" s="43" t="s">
        <v>450</v>
      </c>
      <c r="M47" s="43" t="s">
        <v>435</v>
      </c>
      <c r="N47" s="43" t="s">
        <v>403</v>
      </c>
      <c r="O47" s="43" t="s">
        <v>404</v>
      </c>
    </row>
    <row r="48" spans="1:15" ht="70.05" customHeight="1">
      <c r="A48" s="44">
        <v>4</v>
      </c>
      <c r="B48" s="52" t="s">
        <v>362</v>
      </c>
      <c r="C48" s="43" t="s">
        <v>407</v>
      </c>
      <c r="D48" s="43" t="s">
        <v>408</v>
      </c>
      <c r="E48" s="43" t="s">
        <v>429</v>
      </c>
      <c r="F48" s="43" t="s">
        <v>409</v>
      </c>
      <c r="G48" s="43" t="s">
        <v>442</v>
      </c>
      <c r="H48" s="43" t="s">
        <v>440</v>
      </c>
      <c r="I48" s="45"/>
      <c r="J48" s="64" t="s">
        <v>399</v>
      </c>
      <c r="K48" s="43" t="s">
        <v>402</v>
      </c>
      <c r="L48" s="43" t="s">
        <v>450</v>
      </c>
      <c r="M48" s="43" t="s">
        <v>435</v>
      </c>
      <c r="N48" s="43" t="s">
        <v>403</v>
      </c>
      <c r="O48" s="43" t="s">
        <v>404</v>
      </c>
    </row>
    <row r="49" spans="1:15" ht="70.05" customHeight="1">
      <c r="A49" s="44">
        <v>5</v>
      </c>
      <c r="B49" s="52" t="s">
        <v>363</v>
      </c>
      <c r="C49" s="43" t="s">
        <v>407</v>
      </c>
      <c r="D49" s="43" t="s">
        <v>408</v>
      </c>
      <c r="E49" s="43" t="s">
        <v>429</v>
      </c>
      <c r="F49" s="43" t="s">
        <v>409</v>
      </c>
      <c r="G49" s="43" t="s">
        <v>442</v>
      </c>
      <c r="H49" s="43" t="s">
        <v>440</v>
      </c>
      <c r="I49" s="45"/>
      <c r="J49" s="64" t="s">
        <v>399</v>
      </c>
      <c r="K49" s="43" t="s">
        <v>402</v>
      </c>
      <c r="L49" s="43" t="s">
        <v>450</v>
      </c>
      <c r="M49" s="43" t="s">
        <v>435</v>
      </c>
      <c r="N49" s="43" t="s">
        <v>403</v>
      </c>
      <c r="O49" s="43" t="s">
        <v>404</v>
      </c>
    </row>
    <row r="50" spans="1:15" ht="78">
      <c r="A50" s="44">
        <v>6</v>
      </c>
      <c r="B50" s="51" t="s">
        <v>364</v>
      </c>
      <c r="C50" s="43" t="s">
        <v>405</v>
      </c>
      <c r="D50" s="43" t="s">
        <v>410</v>
      </c>
      <c r="E50" s="43" t="s">
        <v>430</v>
      </c>
      <c r="F50" s="43" t="s">
        <v>401</v>
      </c>
      <c r="G50" s="43" t="s">
        <v>442</v>
      </c>
      <c r="H50" s="43" t="s">
        <v>440</v>
      </c>
      <c r="I50" s="45"/>
      <c r="J50" s="64" t="s">
        <v>399</v>
      </c>
      <c r="K50" s="43" t="s">
        <v>402</v>
      </c>
      <c r="L50" s="43" t="s">
        <v>450</v>
      </c>
      <c r="M50" s="43" t="s">
        <v>435</v>
      </c>
      <c r="N50" s="43" t="s">
        <v>403</v>
      </c>
      <c r="O50" s="43" t="s">
        <v>404</v>
      </c>
    </row>
    <row r="51" spans="1:15" ht="70.05" customHeight="1">
      <c r="A51" s="44">
        <v>7</v>
      </c>
      <c r="B51" s="53" t="s">
        <v>365</v>
      </c>
      <c r="C51" s="43" t="s">
        <v>407</v>
      </c>
      <c r="D51" s="43" t="s">
        <v>408</v>
      </c>
      <c r="E51" s="43" t="s">
        <v>429</v>
      </c>
      <c r="F51" s="43" t="s">
        <v>409</v>
      </c>
      <c r="G51" s="43" t="s">
        <v>442</v>
      </c>
      <c r="H51" s="43" t="s">
        <v>440</v>
      </c>
      <c r="I51" s="45"/>
      <c r="J51" s="64" t="s">
        <v>399</v>
      </c>
      <c r="K51" s="43" t="s">
        <v>402</v>
      </c>
      <c r="L51" s="43" t="s">
        <v>450</v>
      </c>
      <c r="M51" s="43" t="s">
        <v>435</v>
      </c>
      <c r="N51" s="43" t="s">
        <v>403</v>
      </c>
      <c r="O51" s="43" t="s">
        <v>404</v>
      </c>
    </row>
    <row r="52" spans="1:15" ht="70.05" customHeight="1">
      <c r="A52" s="44">
        <v>8</v>
      </c>
      <c r="B52" s="53" t="s">
        <v>366</v>
      </c>
      <c r="C52" s="43" t="s">
        <v>407</v>
      </c>
      <c r="D52" s="43" t="s">
        <v>408</v>
      </c>
      <c r="E52" s="43" t="s">
        <v>429</v>
      </c>
      <c r="F52" s="43" t="s">
        <v>409</v>
      </c>
      <c r="G52" s="43" t="s">
        <v>442</v>
      </c>
      <c r="H52" s="43" t="s">
        <v>440</v>
      </c>
      <c r="I52" s="45"/>
      <c r="J52" s="64" t="s">
        <v>399</v>
      </c>
      <c r="K52" s="43" t="s">
        <v>402</v>
      </c>
      <c r="L52" s="43" t="s">
        <v>450</v>
      </c>
      <c r="M52" s="43" t="s">
        <v>435</v>
      </c>
      <c r="N52" s="43" t="s">
        <v>403</v>
      </c>
      <c r="O52" s="43" t="s">
        <v>404</v>
      </c>
    </row>
    <row r="53" spans="1:15" ht="70.05" customHeight="1">
      <c r="A53" s="44">
        <v>9</v>
      </c>
      <c r="B53" s="53" t="s">
        <v>367</v>
      </c>
      <c r="C53" s="43" t="s">
        <v>407</v>
      </c>
      <c r="D53" s="43" t="s">
        <v>408</v>
      </c>
      <c r="E53" s="43" t="s">
        <v>429</v>
      </c>
      <c r="F53" s="43" t="s">
        <v>409</v>
      </c>
      <c r="G53" s="43" t="s">
        <v>442</v>
      </c>
      <c r="H53" s="43" t="s">
        <v>440</v>
      </c>
      <c r="I53" s="45"/>
      <c r="J53" s="64" t="s">
        <v>399</v>
      </c>
      <c r="K53" s="43" t="s">
        <v>402</v>
      </c>
      <c r="L53" s="43" t="s">
        <v>450</v>
      </c>
      <c r="M53" s="43" t="s">
        <v>435</v>
      </c>
      <c r="N53" s="43" t="s">
        <v>403</v>
      </c>
      <c r="O53" s="43" t="s">
        <v>404</v>
      </c>
    </row>
    <row r="54" spans="1:15" ht="70.05" customHeight="1">
      <c r="A54" s="44">
        <v>10</v>
      </c>
      <c r="B54" s="51" t="s">
        <v>368</v>
      </c>
      <c r="C54" s="43" t="s">
        <v>405</v>
      </c>
      <c r="D54" s="43" t="s">
        <v>414</v>
      </c>
      <c r="E54" s="43" t="s">
        <v>431</v>
      </c>
      <c r="F54" s="43" t="s">
        <v>401</v>
      </c>
      <c r="G54" s="43" t="s">
        <v>442</v>
      </c>
      <c r="H54" s="43" t="s">
        <v>440</v>
      </c>
      <c r="I54" s="45"/>
      <c r="J54" s="64" t="s">
        <v>399</v>
      </c>
      <c r="K54" s="43" t="s">
        <v>402</v>
      </c>
      <c r="L54" s="43" t="s">
        <v>450</v>
      </c>
      <c r="M54" s="43" t="s">
        <v>435</v>
      </c>
      <c r="N54" s="43" t="s">
        <v>403</v>
      </c>
      <c r="O54" s="43" t="s">
        <v>404</v>
      </c>
    </row>
    <row r="55" spans="1:15" ht="70.05" customHeight="1">
      <c r="A55" s="44">
        <v>11</v>
      </c>
      <c r="B55" s="52" t="s">
        <v>369</v>
      </c>
      <c r="C55" s="43" t="s">
        <v>407</v>
      </c>
      <c r="D55" s="43" t="s">
        <v>408</v>
      </c>
      <c r="E55" s="43" t="s">
        <v>429</v>
      </c>
      <c r="F55" s="43" t="s">
        <v>409</v>
      </c>
      <c r="G55" s="43" t="s">
        <v>442</v>
      </c>
      <c r="H55" s="43" t="s">
        <v>440</v>
      </c>
      <c r="I55" s="45"/>
      <c r="J55" s="64" t="s">
        <v>399</v>
      </c>
      <c r="K55" s="43" t="s">
        <v>402</v>
      </c>
      <c r="L55" s="43" t="s">
        <v>450</v>
      </c>
      <c r="M55" s="43" t="s">
        <v>435</v>
      </c>
      <c r="N55" s="43" t="s">
        <v>403</v>
      </c>
      <c r="O55" s="43" t="s">
        <v>404</v>
      </c>
    </row>
    <row r="56" spans="1:15" ht="70.05" customHeight="1">
      <c r="A56" s="44">
        <v>12</v>
      </c>
      <c r="B56" s="52" t="s">
        <v>370</v>
      </c>
      <c r="C56" s="43" t="s">
        <v>407</v>
      </c>
      <c r="D56" s="43" t="s">
        <v>408</v>
      </c>
      <c r="E56" s="43" t="s">
        <v>429</v>
      </c>
      <c r="F56" s="43" t="s">
        <v>409</v>
      </c>
      <c r="G56" s="43" t="s">
        <v>442</v>
      </c>
      <c r="H56" s="43" t="s">
        <v>440</v>
      </c>
      <c r="I56" s="45"/>
      <c r="J56" s="64" t="s">
        <v>399</v>
      </c>
      <c r="K56" s="43" t="s">
        <v>402</v>
      </c>
      <c r="L56" s="43" t="s">
        <v>450</v>
      </c>
      <c r="M56" s="43" t="s">
        <v>435</v>
      </c>
      <c r="N56" s="43" t="s">
        <v>403</v>
      </c>
      <c r="O56" s="43" t="s">
        <v>404</v>
      </c>
    </row>
    <row r="57" spans="1:15" ht="70.05" customHeight="1">
      <c r="A57" s="44">
        <v>13</v>
      </c>
      <c r="B57" s="52" t="s">
        <v>371</v>
      </c>
      <c r="C57" s="43" t="s">
        <v>407</v>
      </c>
      <c r="D57" s="43" t="s">
        <v>408</v>
      </c>
      <c r="E57" s="43" t="s">
        <v>429</v>
      </c>
      <c r="F57" s="43" t="s">
        <v>409</v>
      </c>
      <c r="G57" s="43" t="s">
        <v>442</v>
      </c>
      <c r="H57" s="43" t="s">
        <v>440</v>
      </c>
      <c r="I57" s="45"/>
      <c r="J57" s="64" t="s">
        <v>399</v>
      </c>
      <c r="K57" s="43" t="s">
        <v>402</v>
      </c>
      <c r="L57" s="43" t="s">
        <v>450</v>
      </c>
      <c r="M57" s="43" t="s">
        <v>435</v>
      </c>
      <c r="N57" s="43" t="s">
        <v>403</v>
      </c>
      <c r="O57" s="43" t="s">
        <v>404</v>
      </c>
    </row>
    <row r="58" spans="1:15" s="68" customFormat="1" ht="70.05" customHeight="1">
      <c r="A58" s="65">
        <v>14</v>
      </c>
      <c r="B58" s="66" t="s">
        <v>372</v>
      </c>
      <c r="C58" s="70" t="s">
        <v>416</v>
      </c>
      <c r="D58" s="70" t="s">
        <v>408</v>
      </c>
      <c r="E58" s="70" t="s">
        <v>443</v>
      </c>
      <c r="F58" s="43" t="s">
        <v>426</v>
      </c>
      <c r="G58" s="70" t="s">
        <v>441</v>
      </c>
      <c r="H58" s="43" t="s">
        <v>439</v>
      </c>
      <c r="I58" s="67"/>
      <c r="J58" s="64" t="s">
        <v>399</v>
      </c>
      <c r="K58" s="43" t="s">
        <v>402</v>
      </c>
      <c r="L58" s="43" t="s">
        <v>450</v>
      </c>
      <c r="M58" s="43" t="s">
        <v>435</v>
      </c>
      <c r="N58" s="43" t="s">
        <v>403</v>
      </c>
      <c r="O58" s="43" t="s">
        <v>404</v>
      </c>
    </row>
    <row r="59" spans="1:15" ht="78">
      <c r="A59" s="44">
        <v>15</v>
      </c>
      <c r="B59" s="52" t="s">
        <v>373</v>
      </c>
      <c r="C59" s="43" t="s">
        <v>416</v>
      </c>
      <c r="D59" s="43" t="s">
        <v>425</v>
      </c>
      <c r="E59" s="70" t="s">
        <v>443</v>
      </c>
      <c r="F59" s="43" t="s">
        <v>426</v>
      </c>
      <c r="G59" s="70" t="s">
        <v>441</v>
      </c>
      <c r="H59" s="43" t="s">
        <v>439</v>
      </c>
      <c r="I59" s="45"/>
      <c r="J59" s="64" t="s">
        <v>438</v>
      </c>
      <c r="K59" s="43" t="s">
        <v>402</v>
      </c>
      <c r="L59" s="43" t="s">
        <v>451</v>
      </c>
      <c r="M59" s="43" t="s">
        <v>435</v>
      </c>
      <c r="N59" s="43" t="s">
        <v>403</v>
      </c>
      <c r="O59" s="43" t="s">
        <v>404</v>
      </c>
    </row>
    <row r="60" spans="1:15" ht="78">
      <c r="A60" s="44">
        <v>16</v>
      </c>
      <c r="B60" s="52" t="s">
        <v>374</v>
      </c>
      <c r="C60" s="43" t="s">
        <v>416</v>
      </c>
      <c r="D60" s="43" t="s">
        <v>417</v>
      </c>
      <c r="E60" s="70" t="s">
        <v>443</v>
      </c>
      <c r="F60" s="43" t="s">
        <v>426</v>
      </c>
      <c r="G60" s="70" t="s">
        <v>441</v>
      </c>
      <c r="H60" s="43" t="s">
        <v>439</v>
      </c>
      <c r="I60" s="45"/>
      <c r="J60" s="64" t="s">
        <v>438</v>
      </c>
      <c r="K60" s="43" t="s">
        <v>402</v>
      </c>
      <c r="L60" s="43" t="s">
        <v>451</v>
      </c>
      <c r="M60" s="43" t="s">
        <v>435</v>
      </c>
      <c r="N60" s="43" t="s">
        <v>403</v>
      </c>
      <c r="O60" s="43" t="s">
        <v>404</v>
      </c>
    </row>
    <row r="61" spans="1:15" ht="70.05" customHeight="1">
      <c r="A61" s="44">
        <v>17</v>
      </c>
      <c r="B61" s="52" t="s">
        <v>375</v>
      </c>
      <c r="C61" s="43" t="s">
        <v>416</v>
      </c>
      <c r="D61" s="43" t="s">
        <v>417</v>
      </c>
      <c r="E61" s="70" t="s">
        <v>443</v>
      </c>
      <c r="F61" s="43" t="s">
        <v>426</v>
      </c>
      <c r="G61" s="70" t="s">
        <v>441</v>
      </c>
      <c r="H61" s="43" t="s">
        <v>439</v>
      </c>
      <c r="I61" s="45"/>
      <c r="J61" s="64" t="s">
        <v>438</v>
      </c>
      <c r="K61" s="43" t="s">
        <v>402</v>
      </c>
      <c r="L61" s="43" t="s">
        <v>451</v>
      </c>
      <c r="M61" s="43" t="s">
        <v>435</v>
      </c>
      <c r="N61" s="43" t="s">
        <v>403</v>
      </c>
      <c r="O61" s="43" t="s">
        <v>404</v>
      </c>
    </row>
    <row r="62" spans="1:15" ht="78">
      <c r="A62" s="44">
        <v>18</v>
      </c>
      <c r="B62" s="52" t="s">
        <v>376</v>
      </c>
      <c r="C62" s="43" t="s">
        <v>416</v>
      </c>
      <c r="D62" s="43" t="s">
        <v>417</v>
      </c>
      <c r="E62" s="70" t="s">
        <v>443</v>
      </c>
      <c r="F62" s="43" t="s">
        <v>426</v>
      </c>
      <c r="G62" s="70" t="s">
        <v>441</v>
      </c>
      <c r="H62" s="43" t="s">
        <v>439</v>
      </c>
      <c r="I62" s="45"/>
      <c r="J62" s="64" t="s">
        <v>438</v>
      </c>
      <c r="K62" s="43" t="s">
        <v>402</v>
      </c>
      <c r="L62" s="43" t="s">
        <v>451</v>
      </c>
      <c r="M62" s="43" t="s">
        <v>435</v>
      </c>
      <c r="N62" s="43" t="s">
        <v>403</v>
      </c>
      <c r="O62" s="43" t="s">
        <v>404</v>
      </c>
    </row>
    <row r="63" spans="1:15" ht="70.05" customHeight="1">
      <c r="A63" s="44">
        <v>19</v>
      </c>
      <c r="B63" s="54" t="s">
        <v>377</v>
      </c>
      <c r="C63" s="43" t="s">
        <v>416</v>
      </c>
      <c r="D63" s="43" t="s">
        <v>417</v>
      </c>
      <c r="E63" s="43" t="s">
        <v>432</v>
      </c>
      <c r="F63" s="43" t="s">
        <v>446</v>
      </c>
      <c r="G63" s="43" t="s">
        <v>448</v>
      </c>
      <c r="H63" s="43" t="s">
        <v>439</v>
      </c>
      <c r="I63" s="45"/>
      <c r="J63" s="64" t="s">
        <v>438</v>
      </c>
      <c r="K63" s="43" t="s">
        <v>437</v>
      </c>
      <c r="L63" s="43" t="s">
        <v>451</v>
      </c>
      <c r="M63" s="43" t="s">
        <v>436</v>
      </c>
      <c r="N63" s="43" t="s">
        <v>433</v>
      </c>
      <c r="O63" s="43" t="s">
        <v>434</v>
      </c>
    </row>
    <row r="64" spans="1:15" ht="70.05" customHeight="1">
      <c r="A64" s="44">
        <v>20</v>
      </c>
      <c r="B64" s="54" t="s">
        <v>378</v>
      </c>
      <c r="C64" s="43" t="s">
        <v>416</v>
      </c>
      <c r="D64" s="43" t="s">
        <v>417</v>
      </c>
      <c r="E64" s="43" t="s">
        <v>432</v>
      </c>
      <c r="F64" s="43" t="s">
        <v>446</v>
      </c>
      <c r="G64" s="43" t="s">
        <v>448</v>
      </c>
      <c r="H64" s="43" t="s">
        <v>439</v>
      </c>
      <c r="I64" s="45"/>
      <c r="J64" s="64" t="s">
        <v>438</v>
      </c>
      <c r="K64" s="43" t="s">
        <v>437</v>
      </c>
      <c r="L64" s="43" t="s">
        <v>451</v>
      </c>
      <c r="M64" s="43" t="s">
        <v>436</v>
      </c>
      <c r="N64" s="43" t="s">
        <v>433</v>
      </c>
      <c r="O64" s="43" t="s">
        <v>434</v>
      </c>
    </row>
    <row r="65" spans="1:15" ht="70.05" customHeight="1">
      <c r="A65" s="44">
        <v>21</v>
      </c>
      <c r="B65" s="54" t="s">
        <v>379</v>
      </c>
      <c r="C65" s="43" t="s">
        <v>416</v>
      </c>
      <c r="D65" s="43" t="s">
        <v>417</v>
      </c>
      <c r="E65" s="43" t="s">
        <v>432</v>
      </c>
      <c r="F65" s="43" t="s">
        <v>446</v>
      </c>
      <c r="G65" s="43" t="s">
        <v>448</v>
      </c>
      <c r="H65" s="43" t="s">
        <v>439</v>
      </c>
      <c r="I65" s="45"/>
      <c r="J65" s="64" t="s">
        <v>438</v>
      </c>
      <c r="K65" s="43" t="s">
        <v>437</v>
      </c>
      <c r="L65" s="43" t="s">
        <v>451</v>
      </c>
      <c r="M65" s="43" t="s">
        <v>436</v>
      </c>
      <c r="N65" s="43" t="s">
        <v>433</v>
      </c>
      <c r="O65" s="43" t="s">
        <v>434</v>
      </c>
    </row>
    <row r="66" spans="1:15" ht="70.05" customHeight="1">
      <c r="A66" s="44">
        <v>22</v>
      </c>
      <c r="B66" s="54" t="s">
        <v>380</v>
      </c>
      <c r="C66" s="43" t="s">
        <v>416</v>
      </c>
      <c r="D66" s="43" t="s">
        <v>417</v>
      </c>
      <c r="E66" s="43" t="s">
        <v>432</v>
      </c>
      <c r="F66" s="43" t="s">
        <v>446</v>
      </c>
      <c r="G66" s="43" t="s">
        <v>448</v>
      </c>
      <c r="H66" s="43" t="s">
        <v>439</v>
      </c>
      <c r="I66" s="45"/>
      <c r="J66" s="64" t="s">
        <v>438</v>
      </c>
      <c r="K66" s="43" t="s">
        <v>437</v>
      </c>
      <c r="L66" s="43" t="s">
        <v>451</v>
      </c>
      <c r="M66" s="43" t="s">
        <v>436</v>
      </c>
      <c r="N66" s="43" t="s">
        <v>433</v>
      </c>
      <c r="O66" s="43" t="s">
        <v>434</v>
      </c>
    </row>
    <row r="67" spans="1:15" ht="70.05" customHeight="1">
      <c r="A67" s="44">
        <v>23</v>
      </c>
      <c r="B67" s="60" t="s">
        <v>381</v>
      </c>
      <c r="C67" s="43" t="s">
        <v>416</v>
      </c>
      <c r="D67" s="43" t="s">
        <v>417</v>
      </c>
      <c r="E67" s="43" t="s">
        <v>432</v>
      </c>
      <c r="F67" s="43" t="s">
        <v>446</v>
      </c>
      <c r="G67" s="43" t="s">
        <v>448</v>
      </c>
      <c r="H67" s="43" t="s">
        <v>439</v>
      </c>
      <c r="I67" s="45"/>
      <c r="J67" s="64" t="s">
        <v>438</v>
      </c>
      <c r="K67" s="43" t="s">
        <v>437</v>
      </c>
      <c r="L67" s="43" t="s">
        <v>451</v>
      </c>
      <c r="M67" s="43" t="s">
        <v>436</v>
      </c>
      <c r="N67" s="43" t="s">
        <v>433</v>
      </c>
      <c r="O67" s="43" t="s">
        <v>434</v>
      </c>
    </row>
    <row r="68" spans="1:15" ht="70.05" customHeight="1">
      <c r="A68" s="44">
        <v>24</v>
      </c>
      <c r="B68" s="60" t="s">
        <v>382</v>
      </c>
      <c r="C68" s="43" t="s">
        <v>416</v>
      </c>
      <c r="D68" s="43" t="s">
        <v>417</v>
      </c>
      <c r="E68" s="43" t="s">
        <v>432</v>
      </c>
      <c r="F68" s="43" t="s">
        <v>446</v>
      </c>
      <c r="G68" s="43" t="s">
        <v>448</v>
      </c>
      <c r="H68" s="43" t="s">
        <v>439</v>
      </c>
      <c r="I68" s="45"/>
      <c r="J68" s="64" t="s">
        <v>438</v>
      </c>
      <c r="K68" s="43" t="s">
        <v>437</v>
      </c>
      <c r="L68" s="43" t="s">
        <v>451</v>
      </c>
      <c r="M68" s="43" t="s">
        <v>436</v>
      </c>
      <c r="N68" s="43" t="s">
        <v>433</v>
      </c>
      <c r="O68" s="43" t="s">
        <v>434</v>
      </c>
    </row>
    <row r="69" spans="1:15" ht="70.05" customHeight="1">
      <c r="A69" s="44">
        <v>25</v>
      </c>
      <c r="B69" s="60" t="s">
        <v>383</v>
      </c>
      <c r="C69" s="43" t="s">
        <v>416</v>
      </c>
      <c r="D69" s="43" t="s">
        <v>417</v>
      </c>
      <c r="E69" s="43" t="s">
        <v>432</v>
      </c>
      <c r="F69" s="43" t="s">
        <v>446</v>
      </c>
      <c r="G69" s="43" t="s">
        <v>448</v>
      </c>
      <c r="H69" s="43" t="s">
        <v>439</v>
      </c>
      <c r="I69" s="45"/>
      <c r="J69" s="64" t="s">
        <v>438</v>
      </c>
      <c r="K69" s="43" t="s">
        <v>437</v>
      </c>
      <c r="L69" s="43" t="s">
        <v>451</v>
      </c>
      <c r="M69" s="43" t="s">
        <v>436</v>
      </c>
      <c r="N69" s="43" t="s">
        <v>433</v>
      </c>
      <c r="O69" s="43" t="s">
        <v>434</v>
      </c>
    </row>
    <row r="70" spans="1:15" ht="70.05" customHeight="1">
      <c r="A70" s="44">
        <v>26</v>
      </c>
      <c r="B70" s="60" t="s">
        <v>384</v>
      </c>
      <c r="C70" s="43" t="s">
        <v>416</v>
      </c>
      <c r="D70" s="43" t="s">
        <v>417</v>
      </c>
      <c r="E70" s="43" t="s">
        <v>432</v>
      </c>
      <c r="F70" s="43" t="s">
        <v>446</v>
      </c>
      <c r="G70" s="43" t="s">
        <v>448</v>
      </c>
      <c r="H70" s="43" t="s">
        <v>439</v>
      </c>
      <c r="I70" s="45"/>
      <c r="J70" s="64" t="s">
        <v>438</v>
      </c>
      <c r="K70" s="43" t="s">
        <v>437</v>
      </c>
      <c r="L70" s="43" t="s">
        <v>451</v>
      </c>
      <c r="M70" s="43" t="s">
        <v>436</v>
      </c>
      <c r="N70" s="43" t="s">
        <v>433</v>
      </c>
      <c r="O70" s="43" t="s">
        <v>434</v>
      </c>
    </row>
    <row r="71" spans="1:15" ht="70.05" customHeight="1">
      <c r="A71" s="44">
        <v>27</v>
      </c>
      <c r="B71" s="60" t="s">
        <v>385</v>
      </c>
      <c r="C71" s="43" t="s">
        <v>416</v>
      </c>
      <c r="D71" s="43" t="s">
        <v>417</v>
      </c>
      <c r="E71" s="43" t="s">
        <v>432</v>
      </c>
      <c r="F71" s="43" t="s">
        <v>446</v>
      </c>
      <c r="G71" s="43" t="s">
        <v>448</v>
      </c>
      <c r="H71" s="43" t="s">
        <v>439</v>
      </c>
      <c r="I71" s="45"/>
      <c r="J71" s="64" t="s">
        <v>438</v>
      </c>
      <c r="K71" s="43" t="s">
        <v>437</v>
      </c>
      <c r="L71" s="43" t="s">
        <v>451</v>
      </c>
      <c r="M71" s="43" t="s">
        <v>436</v>
      </c>
      <c r="N71" s="43" t="s">
        <v>433</v>
      </c>
      <c r="O71" s="43" t="s">
        <v>434</v>
      </c>
    </row>
    <row r="72" spans="1:15" ht="70.05" customHeight="1">
      <c r="A72" s="44">
        <v>28</v>
      </c>
      <c r="B72" s="54" t="s">
        <v>386</v>
      </c>
      <c r="C72" s="43" t="s">
        <v>415</v>
      </c>
      <c r="D72" s="43" t="s">
        <v>417</v>
      </c>
      <c r="E72" s="43" t="s">
        <v>432</v>
      </c>
      <c r="F72" s="43" t="s">
        <v>446</v>
      </c>
      <c r="G72" s="43" t="s">
        <v>448</v>
      </c>
      <c r="H72" s="43" t="s">
        <v>439</v>
      </c>
      <c r="I72" s="45"/>
      <c r="J72" s="64" t="s">
        <v>438</v>
      </c>
      <c r="K72" s="43" t="s">
        <v>437</v>
      </c>
      <c r="L72" s="43" t="s">
        <v>451</v>
      </c>
      <c r="M72" s="43" t="s">
        <v>436</v>
      </c>
      <c r="N72" s="43" t="s">
        <v>433</v>
      </c>
      <c r="O72" s="43" t="s">
        <v>434</v>
      </c>
    </row>
    <row r="73" spans="1:15" ht="70.05" customHeight="1">
      <c r="A73" s="44">
        <v>29</v>
      </c>
      <c r="B73" s="54" t="s">
        <v>387</v>
      </c>
      <c r="C73" s="43" t="s">
        <v>415</v>
      </c>
      <c r="D73" s="43" t="s">
        <v>417</v>
      </c>
      <c r="E73" s="43" t="s">
        <v>432</v>
      </c>
      <c r="F73" s="43" t="s">
        <v>446</v>
      </c>
      <c r="G73" s="43" t="s">
        <v>448</v>
      </c>
      <c r="H73" s="43" t="s">
        <v>439</v>
      </c>
      <c r="I73" s="45"/>
      <c r="J73" s="64" t="s">
        <v>438</v>
      </c>
      <c r="K73" s="43" t="s">
        <v>437</v>
      </c>
      <c r="L73" s="43" t="s">
        <v>451</v>
      </c>
      <c r="M73" s="43" t="s">
        <v>436</v>
      </c>
      <c r="N73" s="43" t="s">
        <v>433</v>
      </c>
      <c r="O73" s="43" t="s">
        <v>434</v>
      </c>
    </row>
    <row r="74" spans="1:15" ht="70.05" customHeight="1">
      <c r="A74" s="44">
        <v>30</v>
      </c>
      <c r="B74" s="54" t="s">
        <v>388</v>
      </c>
      <c r="C74" s="43" t="s">
        <v>415</v>
      </c>
      <c r="D74" s="43" t="s">
        <v>417</v>
      </c>
      <c r="E74" s="43" t="s">
        <v>432</v>
      </c>
      <c r="F74" s="43" t="s">
        <v>446</v>
      </c>
      <c r="G74" s="43" t="s">
        <v>448</v>
      </c>
      <c r="H74" s="43" t="s">
        <v>439</v>
      </c>
      <c r="I74" s="45"/>
      <c r="J74" s="64" t="s">
        <v>438</v>
      </c>
      <c r="K74" s="43" t="s">
        <v>437</v>
      </c>
      <c r="L74" s="43" t="s">
        <v>451</v>
      </c>
      <c r="M74" s="43" t="s">
        <v>436</v>
      </c>
      <c r="N74" s="43" t="s">
        <v>433</v>
      </c>
      <c r="O74" s="43" t="s">
        <v>434</v>
      </c>
    </row>
    <row r="75" spans="1:15" ht="70.05" customHeight="1">
      <c r="A75" s="44">
        <v>31</v>
      </c>
      <c r="B75" s="54" t="s">
        <v>389</v>
      </c>
      <c r="C75" s="43" t="s">
        <v>415</v>
      </c>
      <c r="D75" s="43" t="s">
        <v>417</v>
      </c>
      <c r="E75" s="43" t="s">
        <v>432</v>
      </c>
      <c r="F75" s="43" t="s">
        <v>446</v>
      </c>
      <c r="G75" s="43" t="s">
        <v>448</v>
      </c>
      <c r="H75" s="43" t="s">
        <v>439</v>
      </c>
      <c r="I75" s="45"/>
      <c r="J75" s="64" t="s">
        <v>438</v>
      </c>
      <c r="K75" s="43" t="s">
        <v>437</v>
      </c>
      <c r="L75" s="43" t="s">
        <v>451</v>
      </c>
      <c r="M75" s="43" t="s">
        <v>436</v>
      </c>
      <c r="N75" s="43" t="s">
        <v>433</v>
      </c>
      <c r="O75" s="43" t="s">
        <v>434</v>
      </c>
    </row>
    <row r="76" spans="1:15" ht="70.05" customHeight="1">
      <c r="A76" s="44">
        <v>32</v>
      </c>
      <c r="B76" s="54" t="s">
        <v>390</v>
      </c>
      <c r="C76" s="43" t="s">
        <v>415</v>
      </c>
      <c r="D76" s="43" t="s">
        <v>417</v>
      </c>
      <c r="E76" s="43" t="s">
        <v>432</v>
      </c>
      <c r="F76" s="43" t="s">
        <v>446</v>
      </c>
      <c r="G76" s="43" t="s">
        <v>448</v>
      </c>
      <c r="H76" s="43" t="s">
        <v>439</v>
      </c>
      <c r="I76" s="45"/>
      <c r="J76" s="64" t="s">
        <v>438</v>
      </c>
      <c r="K76" s="43" t="s">
        <v>437</v>
      </c>
      <c r="L76" s="43" t="s">
        <v>451</v>
      </c>
      <c r="M76" s="43" t="s">
        <v>436</v>
      </c>
      <c r="N76" s="43" t="s">
        <v>433</v>
      </c>
      <c r="O76" s="43" t="s">
        <v>434</v>
      </c>
    </row>
    <row r="77" spans="1:15" ht="70.05" customHeight="1">
      <c r="A77" s="44">
        <v>33</v>
      </c>
      <c r="B77" s="60" t="s">
        <v>391</v>
      </c>
      <c r="C77" s="43" t="s">
        <v>415</v>
      </c>
      <c r="D77" s="43" t="s">
        <v>417</v>
      </c>
      <c r="E77" s="43" t="s">
        <v>432</v>
      </c>
      <c r="F77" s="43" t="s">
        <v>446</v>
      </c>
      <c r="G77" s="43" t="s">
        <v>448</v>
      </c>
      <c r="H77" s="43" t="s">
        <v>439</v>
      </c>
      <c r="I77" s="45"/>
      <c r="J77" s="64" t="s">
        <v>438</v>
      </c>
      <c r="K77" s="43" t="s">
        <v>437</v>
      </c>
      <c r="L77" s="43" t="s">
        <v>451</v>
      </c>
      <c r="M77" s="43" t="s">
        <v>436</v>
      </c>
      <c r="N77" s="43" t="s">
        <v>433</v>
      </c>
      <c r="O77" s="43" t="s">
        <v>434</v>
      </c>
    </row>
    <row r="78" spans="1:15" ht="70.05" customHeight="1">
      <c r="A78" s="44">
        <v>34</v>
      </c>
      <c r="B78" s="60" t="s">
        <v>392</v>
      </c>
      <c r="C78" s="43" t="s">
        <v>415</v>
      </c>
      <c r="D78" s="43" t="s">
        <v>417</v>
      </c>
      <c r="E78" s="43" t="s">
        <v>432</v>
      </c>
      <c r="F78" s="43" t="s">
        <v>446</v>
      </c>
      <c r="G78" s="43" t="s">
        <v>448</v>
      </c>
      <c r="H78" s="43" t="s">
        <v>439</v>
      </c>
      <c r="I78" s="45"/>
      <c r="J78" s="64" t="s">
        <v>438</v>
      </c>
      <c r="K78" s="43" t="s">
        <v>437</v>
      </c>
      <c r="L78" s="43" t="s">
        <v>451</v>
      </c>
      <c r="M78" s="43" t="s">
        <v>436</v>
      </c>
      <c r="N78" s="43" t="s">
        <v>433</v>
      </c>
      <c r="O78" s="43" t="s">
        <v>434</v>
      </c>
    </row>
    <row r="79" spans="1:15" ht="70.05" customHeight="1">
      <c r="A79" s="44">
        <v>35</v>
      </c>
      <c r="B79" s="60" t="s">
        <v>393</v>
      </c>
      <c r="C79" s="43" t="s">
        <v>415</v>
      </c>
      <c r="D79" s="43" t="s">
        <v>417</v>
      </c>
      <c r="E79" s="43" t="s">
        <v>432</v>
      </c>
      <c r="F79" s="43" t="s">
        <v>446</v>
      </c>
      <c r="G79" s="43" t="s">
        <v>448</v>
      </c>
      <c r="H79" s="43" t="s">
        <v>439</v>
      </c>
      <c r="I79" s="45"/>
      <c r="J79" s="64" t="s">
        <v>438</v>
      </c>
      <c r="K79" s="43" t="s">
        <v>437</v>
      </c>
      <c r="L79" s="43" t="s">
        <v>451</v>
      </c>
      <c r="M79" s="43" t="s">
        <v>436</v>
      </c>
      <c r="N79" s="43" t="s">
        <v>433</v>
      </c>
      <c r="O79" s="43" t="s">
        <v>434</v>
      </c>
    </row>
    <row r="80" spans="1:15" ht="70.05" customHeight="1">
      <c r="A80" s="44">
        <v>36</v>
      </c>
      <c r="B80" s="54" t="s">
        <v>394</v>
      </c>
      <c r="C80" s="43" t="s">
        <v>415</v>
      </c>
      <c r="D80" s="43" t="s">
        <v>417</v>
      </c>
      <c r="E80" s="43" t="s">
        <v>444</v>
      </c>
      <c r="F80" s="64" t="s">
        <v>447</v>
      </c>
      <c r="G80" s="43" t="s">
        <v>449</v>
      </c>
      <c r="H80" s="43" t="s">
        <v>439</v>
      </c>
      <c r="I80" s="45"/>
      <c r="J80" s="64" t="s">
        <v>438</v>
      </c>
      <c r="K80" s="43" t="s">
        <v>437</v>
      </c>
      <c r="L80" s="43" t="s">
        <v>451</v>
      </c>
      <c r="M80" s="43" t="s">
        <v>436</v>
      </c>
      <c r="N80" s="43" t="s">
        <v>433</v>
      </c>
      <c r="O80" s="43" t="s">
        <v>434</v>
      </c>
    </row>
    <row r="81" spans="1:15" ht="70.05" customHeight="1">
      <c r="A81" s="44">
        <v>37</v>
      </c>
      <c r="B81" s="54" t="s">
        <v>395</v>
      </c>
      <c r="C81" s="43" t="s">
        <v>415</v>
      </c>
      <c r="D81" s="43" t="s">
        <v>417</v>
      </c>
      <c r="E81" s="43" t="s">
        <v>444</v>
      </c>
      <c r="F81" s="43" t="s">
        <v>447</v>
      </c>
      <c r="G81" s="43" t="s">
        <v>449</v>
      </c>
      <c r="H81" s="43" t="s">
        <v>439</v>
      </c>
      <c r="I81" s="45"/>
      <c r="J81" s="64" t="s">
        <v>438</v>
      </c>
      <c r="K81" s="43" t="s">
        <v>437</v>
      </c>
      <c r="L81" s="43" t="s">
        <v>451</v>
      </c>
      <c r="M81" s="43" t="s">
        <v>436</v>
      </c>
      <c r="N81" s="43" t="s">
        <v>433</v>
      </c>
      <c r="O81" s="43" t="s">
        <v>434</v>
      </c>
    </row>
    <row r="82" spans="1:15" ht="70.05" customHeight="1">
      <c r="A82" s="44">
        <v>38</v>
      </c>
      <c r="B82" s="54" t="s">
        <v>396</v>
      </c>
      <c r="C82" s="43" t="s">
        <v>415</v>
      </c>
      <c r="D82" s="43" t="s">
        <v>417</v>
      </c>
      <c r="E82" s="43" t="s">
        <v>444</v>
      </c>
      <c r="F82" s="43" t="s">
        <v>447</v>
      </c>
      <c r="G82" s="43" t="s">
        <v>449</v>
      </c>
      <c r="H82" s="43" t="s">
        <v>439</v>
      </c>
      <c r="I82" s="45"/>
      <c r="J82" s="64" t="s">
        <v>438</v>
      </c>
      <c r="K82" s="43" t="s">
        <v>437</v>
      </c>
      <c r="L82" s="43" t="s">
        <v>451</v>
      </c>
      <c r="M82" s="43" t="s">
        <v>436</v>
      </c>
      <c r="N82" s="43" t="s">
        <v>433</v>
      </c>
      <c r="O82" s="43" t="s">
        <v>434</v>
      </c>
    </row>
    <row r="83" spans="1:15" ht="70.05" customHeight="1">
      <c r="A83" s="44">
        <v>39</v>
      </c>
      <c r="B83" s="60" t="s">
        <v>397</v>
      </c>
      <c r="C83" s="43" t="s">
        <v>415</v>
      </c>
      <c r="D83" s="43" t="s">
        <v>417</v>
      </c>
      <c r="E83" s="43" t="s">
        <v>444</v>
      </c>
      <c r="F83" s="43" t="s">
        <v>447</v>
      </c>
      <c r="G83" s="43" t="s">
        <v>449</v>
      </c>
      <c r="H83" s="43" t="s">
        <v>439</v>
      </c>
      <c r="I83" s="45"/>
      <c r="J83" s="64" t="s">
        <v>438</v>
      </c>
      <c r="K83" s="43" t="s">
        <v>437</v>
      </c>
      <c r="L83" s="43" t="s">
        <v>451</v>
      </c>
      <c r="M83" s="43" t="s">
        <v>436</v>
      </c>
      <c r="N83" s="43" t="s">
        <v>433</v>
      </c>
      <c r="O83" s="43" t="s">
        <v>434</v>
      </c>
    </row>
    <row r="84" spans="1:15" ht="70.05" customHeight="1">
      <c r="A84" s="44">
        <v>40</v>
      </c>
      <c r="B84" s="60" t="s">
        <v>398</v>
      </c>
      <c r="C84" s="43" t="s">
        <v>415</v>
      </c>
      <c r="D84" s="43" t="s">
        <v>417</v>
      </c>
      <c r="E84" s="43" t="s">
        <v>444</v>
      </c>
      <c r="F84" s="43" t="s">
        <v>447</v>
      </c>
      <c r="G84" s="43" t="s">
        <v>449</v>
      </c>
      <c r="H84" s="43" t="s">
        <v>439</v>
      </c>
      <c r="I84" s="45"/>
      <c r="J84" s="64" t="s">
        <v>438</v>
      </c>
      <c r="K84" s="43" t="s">
        <v>437</v>
      </c>
      <c r="L84" s="43" t="s">
        <v>451</v>
      </c>
      <c r="M84" s="43" t="s">
        <v>436</v>
      </c>
      <c r="N84" s="43" t="s">
        <v>433</v>
      </c>
      <c r="O84" s="43" t="s">
        <v>434</v>
      </c>
    </row>
  </sheetData>
  <mergeCells count="2">
    <mergeCell ref="C2:H2"/>
    <mergeCell ref="J2:O2"/>
  </mergeCells>
  <phoneticPr fontId="10"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9AE70-A0A7-4CD8-A6D0-4A7D2D611776}">
  <sheetPr codeName="Sheet3">
    <tabColor rgb="FF00B050"/>
    <pageSetUpPr fitToPage="1"/>
  </sheetPr>
  <dimension ref="A1:BI119"/>
  <sheetViews>
    <sheetView showGridLines="0" tabSelected="1" zoomScale="40" zoomScaleNormal="40" zoomScaleSheetLayoutView="35" workbookViewId="0">
      <selection activeCell="Q14" sqref="Q14"/>
    </sheetView>
  </sheetViews>
  <sheetFormatPr defaultColWidth="9.26953125" defaultRowHeight="28.8"/>
  <cols>
    <col min="1" max="1" width="14.7265625" style="4" customWidth="1"/>
    <col min="2" max="5" width="13.7265625" style="4" customWidth="1"/>
    <col min="6" max="7" width="17.7265625" style="4" customWidth="1"/>
    <col min="8" max="8" width="23.54296875" style="4" customWidth="1"/>
    <col min="9" max="9" width="18.7265625" style="4" customWidth="1"/>
    <col min="10" max="15" width="16.7265625" style="4" customWidth="1"/>
    <col min="16" max="16" width="14.90625" style="4" bestFit="1" customWidth="1"/>
    <col min="17" max="25" width="14.7265625" style="4" customWidth="1"/>
    <col min="26" max="28" width="17.7265625" style="4" customWidth="1"/>
    <col min="29" max="29" width="18.7265625" style="4" customWidth="1"/>
    <col min="30" max="35" width="16.7265625" style="4" customWidth="1"/>
    <col min="36" max="36" width="15.7265625" style="4" customWidth="1"/>
    <col min="37" max="44" width="13.7265625" style="4" customWidth="1"/>
    <col min="45" max="45" width="15.26953125" style="4" customWidth="1"/>
    <col min="46" max="50" width="13.7265625" style="4" customWidth="1"/>
    <col min="51" max="72" width="4.7265625" style="4" customWidth="1"/>
    <col min="73" max="16384" width="9.26953125" style="4"/>
  </cols>
  <sheetData>
    <row r="1" spans="1:50" s="3" customFormat="1" ht="34.950000000000003" customHeight="1">
      <c r="A1" s="244" t="s">
        <v>162</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6"/>
      <c r="AT1" s="724" t="s">
        <v>34</v>
      </c>
      <c r="AU1" s="724" t="s">
        <v>358</v>
      </c>
      <c r="AV1" s="228" t="str">
        <f>AT1&amp;AU1</f>
        <v>E7T</v>
      </c>
      <c r="AW1" s="228" t="str">
        <f>VLOOKUP($AV$1,'Weight &amp; Grade Def.'!$G$7:$I$86,2,0)</f>
        <v>E6T</v>
      </c>
      <c r="AX1" s="228" t="str">
        <f>VLOOKUP($AV$1,'Weight &amp; Grade Def.'!$G$7:$I$86,3,0)</f>
        <v>E8T</v>
      </c>
    </row>
    <row r="2" spans="1:50" s="3" customFormat="1" ht="34.049999999999997" customHeight="1" thickBot="1">
      <c r="A2" s="247" t="s">
        <v>490</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9"/>
      <c r="AT2" s="725"/>
      <c r="AU2" s="725"/>
      <c r="AV2" s="229"/>
      <c r="AW2" s="229" t="str">
        <f>VLOOKUP($AV$1,'Weight &amp; Grade Def.'!$G$7:$I$86,2,0)</f>
        <v>E6T</v>
      </c>
      <c r="AX2" s="229" t="str">
        <f>VLOOKUP($AV$1,'Weight &amp; Grade Def.'!$G$7:$I$86,2,0)</f>
        <v>E6T</v>
      </c>
    </row>
    <row r="3" spans="1:50" s="3" customFormat="1" ht="30" customHeight="1" thickBot="1">
      <c r="A3" s="105"/>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753" t="s">
        <v>205</v>
      </c>
      <c r="AM3" s="754"/>
      <c r="AN3" s="754"/>
      <c r="AO3" s="754"/>
      <c r="AP3" s="754"/>
      <c r="AQ3" s="754"/>
      <c r="AR3" s="754"/>
      <c r="AS3" s="755"/>
      <c r="AW3" s="50"/>
      <c r="AX3" s="50"/>
    </row>
    <row r="4" spans="1:50" ht="30" customHeight="1">
      <c r="A4" s="107" t="s">
        <v>0</v>
      </c>
      <c r="B4" s="779"/>
      <c r="C4" s="779"/>
      <c r="D4" s="779"/>
      <c r="E4" s="779"/>
      <c r="F4" s="779"/>
      <c r="G4" s="779"/>
      <c r="H4" s="779"/>
      <c r="I4" s="6" t="s">
        <v>491</v>
      </c>
      <c r="J4" s="779"/>
      <c r="K4" s="779"/>
      <c r="L4" s="779"/>
      <c r="M4" s="4" t="s">
        <v>1</v>
      </c>
      <c r="N4" s="779"/>
      <c r="O4" s="779"/>
      <c r="P4" s="779"/>
      <c r="Q4" s="779"/>
      <c r="R4" s="779"/>
      <c r="S4" s="779"/>
      <c r="T4" s="779"/>
      <c r="U4" s="779"/>
      <c r="V4" s="4" t="s">
        <v>185</v>
      </c>
      <c r="X4" s="730" t="str">
        <f>AT1</f>
        <v>E7</v>
      </c>
      <c r="Y4" s="730"/>
      <c r="Z4" s="730"/>
      <c r="AA4" s="730"/>
      <c r="AC4" s="4" t="s">
        <v>13</v>
      </c>
      <c r="AG4" s="779"/>
      <c r="AH4" s="779"/>
      <c r="AI4" s="779"/>
      <c r="AJ4" s="779"/>
      <c r="AL4" s="756" t="s">
        <v>206</v>
      </c>
      <c r="AM4" s="127" t="s">
        <v>514</v>
      </c>
      <c r="AN4" s="119"/>
      <c r="AO4" s="119"/>
      <c r="AP4" s="119"/>
      <c r="AQ4" s="119"/>
      <c r="AR4" s="113"/>
      <c r="AS4" s="114"/>
      <c r="AW4" s="90" t="s">
        <v>420</v>
      </c>
      <c r="AX4" s="90" t="s">
        <v>421</v>
      </c>
    </row>
    <row r="5" spans="1:50" ht="30" customHeight="1">
      <c r="A5" s="107" t="s">
        <v>190</v>
      </c>
      <c r="I5" s="4" t="s">
        <v>492</v>
      </c>
      <c r="M5" s="4" t="s">
        <v>191</v>
      </c>
      <c r="V5" s="4" t="s">
        <v>192</v>
      </c>
      <c r="AC5" s="4" t="s">
        <v>199</v>
      </c>
      <c r="AL5" s="757"/>
      <c r="AM5" s="115" t="s">
        <v>515</v>
      </c>
      <c r="AN5" s="120"/>
      <c r="AO5" s="120"/>
      <c r="AP5" s="120"/>
      <c r="AQ5" s="120"/>
      <c r="AR5" s="115"/>
      <c r="AS5" s="116"/>
    </row>
    <row r="6" spans="1:50" s="5" customFormat="1" ht="30" customHeight="1">
      <c r="A6" s="108"/>
      <c r="AL6" s="758" t="s">
        <v>207</v>
      </c>
      <c r="AM6" s="128" t="s">
        <v>513</v>
      </c>
      <c r="AN6" s="121"/>
      <c r="AO6" s="121"/>
      <c r="AP6" s="121"/>
      <c r="AQ6" s="121"/>
      <c r="AR6" s="117"/>
      <c r="AS6" s="118"/>
    </row>
    <row r="7" spans="1:50" ht="30" customHeight="1">
      <c r="A7" s="107" t="s">
        <v>15</v>
      </c>
      <c r="C7" s="779"/>
      <c r="D7" s="779"/>
      <c r="E7" s="779"/>
      <c r="F7" s="779"/>
      <c r="G7" s="779"/>
      <c r="H7" s="4" t="s">
        <v>186</v>
      </c>
      <c r="L7" s="779"/>
      <c r="M7" s="779"/>
      <c r="N7" s="779"/>
      <c r="O7" s="779"/>
      <c r="P7" s="779"/>
      <c r="Q7" s="779"/>
      <c r="R7" s="779"/>
      <c r="S7" s="779"/>
      <c r="T7" s="779"/>
      <c r="U7" s="779"/>
      <c r="V7" s="779"/>
      <c r="W7" s="779"/>
      <c r="X7" s="779"/>
      <c r="Z7" s="4" t="s">
        <v>2</v>
      </c>
      <c r="AB7" s="781"/>
      <c r="AC7" s="779"/>
      <c r="AD7" s="779"/>
      <c r="AE7" s="779"/>
      <c r="AF7" s="4" t="s">
        <v>3</v>
      </c>
      <c r="AI7" s="779"/>
      <c r="AJ7" s="779"/>
      <c r="AK7" s="4" t="s">
        <v>419</v>
      </c>
      <c r="AL7" s="757"/>
      <c r="AM7" s="115" t="s">
        <v>516</v>
      </c>
      <c r="AN7" s="120"/>
      <c r="AO7" s="120"/>
      <c r="AP7" s="120"/>
      <c r="AQ7" s="120"/>
      <c r="AR7" s="115"/>
      <c r="AS7" s="116"/>
    </row>
    <row r="8" spans="1:50" ht="30" customHeight="1">
      <c r="A8" s="107" t="s">
        <v>195</v>
      </c>
      <c r="H8" s="4" t="s">
        <v>196</v>
      </c>
      <c r="Z8" s="4" t="s">
        <v>193</v>
      </c>
      <c r="AF8" s="4" t="s">
        <v>194</v>
      </c>
      <c r="AL8" s="759" t="s">
        <v>208</v>
      </c>
      <c r="AM8" s="126" t="s">
        <v>510</v>
      </c>
      <c r="AN8" s="122"/>
      <c r="AO8" s="122"/>
      <c r="AP8" s="122"/>
      <c r="AQ8" s="122"/>
      <c r="AR8" s="122"/>
      <c r="AS8" s="130"/>
    </row>
    <row r="9" spans="1:50" s="5" customFormat="1" ht="30" customHeight="1">
      <c r="A9" s="108"/>
      <c r="AL9" s="760"/>
      <c r="AM9" s="123" t="s">
        <v>517</v>
      </c>
      <c r="AN9" s="123"/>
      <c r="AO9" s="123"/>
      <c r="AP9" s="123"/>
      <c r="AQ9" s="123"/>
      <c r="AR9" s="123"/>
      <c r="AS9" s="131"/>
    </row>
    <row r="10" spans="1:50" ht="30" customHeight="1">
      <c r="A10" s="107" t="s">
        <v>187</v>
      </c>
      <c r="C10" s="780"/>
      <c r="D10" s="780"/>
      <c r="E10" s="780"/>
      <c r="F10" s="780"/>
      <c r="G10" s="780"/>
      <c r="H10" s="780"/>
      <c r="I10" s="780"/>
      <c r="J10" s="780"/>
      <c r="K10" s="780"/>
      <c r="L10" s="780"/>
      <c r="M10" s="780"/>
      <c r="O10" s="4" t="s">
        <v>188</v>
      </c>
      <c r="R10" s="780"/>
      <c r="S10" s="780"/>
      <c r="T10" s="780"/>
      <c r="U10" s="780"/>
      <c r="V10" s="780"/>
      <c r="W10" s="780"/>
      <c r="X10" s="780"/>
      <c r="Y10" s="780"/>
      <c r="Z10" s="780"/>
      <c r="AA10" s="780"/>
      <c r="AB10" s="780"/>
      <c r="AC10" s="780"/>
      <c r="AD10" s="780"/>
      <c r="AF10" s="4" t="s">
        <v>189</v>
      </c>
      <c r="AI10" s="250"/>
      <c r="AJ10" s="250"/>
      <c r="AK10" s="266"/>
      <c r="AL10" s="758" t="s">
        <v>209</v>
      </c>
      <c r="AM10" s="128" t="s">
        <v>511</v>
      </c>
      <c r="AN10" s="121"/>
      <c r="AO10" s="121"/>
      <c r="AP10" s="121"/>
      <c r="AQ10" s="121"/>
      <c r="AR10" s="117"/>
      <c r="AS10" s="118"/>
    </row>
    <row r="11" spans="1:50" ht="30" customHeight="1">
      <c r="A11" s="107" t="s">
        <v>197</v>
      </c>
      <c r="O11" s="4" t="s">
        <v>474</v>
      </c>
      <c r="AF11" s="4" t="s">
        <v>198</v>
      </c>
      <c r="AK11" s="5"/>
      <c r="AL11" s="757"/>
      <c r="AM11" s="115" t="s">
        <v>518</v>
      </c>
      <c r="AN11" s="120"/>
      <c r="AO11" s="120"/>
      <c r="AP11" s="120"/>
      <c r="AQ11" s="120"/>
      <c r="AR11" s="115"/>
      <c r="AS11" s="116"/>
    </row>
    <row r="12" spans="1:50" ht="30" customHeight="1">
      <c r="A12" s="107"/>
      <c r="AK12" s="5"/>
      <c r="AL12" s="761" t="s">
        <v>210</v>
      </c>
      <c r="AM12" s="129" t="s">
        <v>512</v>
      </c>
      <c r="AN12" s="125"/>
      <c r="AO12" s="125"/>
      <c r="AP12" s="125"/>
      <c r="AQ12" s="125"/>
      <c r="AR12" s="5"/>
      <c r="AS12" s="109"/>
    </row>
    <row r="13" spans="1:50" ht="30" customHeight="1" thickBot="1">
      <c r="A13" s="110"/>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762"/>
      <c r="AM13" s="111" t="s">
        <v>519</v>
      </c>
      <c r="AN13" s="124"/>
      <c r="AO13" s="124"/>
      <c r="AP13" s="124"/>
      <c r="AQ13" s="124"/>
      <c r="AR13" s="111"/>
      <c r="AS13" s="112"/>
    </row>
    <row r="15" spans="1:50" s="3" customFormat="1" ht="94.95" customHeight="1">
      <c r="A15" s="767" t="s">
        <v>628</v>
      </c>
      <c r="B15" s="768"/>
      <c r="C15" s="768"/>
      <c r="D15" s="768"/>
      <c r="E15" s="769"/>
      <c r="F15" s="770" t="s">
        <v>630</v>
      </c>
      <c r="G15" s="771"/>
      <c r="H15" s="771"/>
      <c r="I15" s="771"/>
      <c r="J15" s="771"/>
      <c r="K15" s="771"/>
      <c r="L15" s="771"/>
      <c r="M15" s="771"/>
      <c r="N15" s="771"/>
      <c r="O15" s="771"/>
      <c r="P15" s="771"/>
      <c r="Q15" s="771"/>
      <c r="R15" s="771"/>
      <c r="S15" s="771"/>
      <c r="T15" s="771"/>
      <c r="U15" s="771"/>
      <c r="V15" s="771"/>
      <c r="W15" s="771"/>
      <c r="X15" s="771"/>
      <c r="Y15" s="771"/>
      <c r="Z15" s="771"/>
      <c r="AA15" s="771"/>
      <c r="AB15" s="771"/>
      <c r="AC15" s="771"/>
      <c r="AD15" s="771"/>
      <c r="AE15" s="771"/>
      <c r="AF15" s="771"/>
      <c r="AG15" s="772"/>
      <c r="AI15" s="470" t="s">
        <v>521</v>
      </c>
      <c r="AJ15" s="763"/>
      <c r="AK15" s="763"/>
      <c r="AL15" s="763"/>
      <c r="AM15" s="763"/>
      <c r="AN15" s="763"/>
      <c r="AO15" s="763"/>
      <c r="AP15" s="763"/>
      <c r="AQ15" s="763"/>
      <c r="AR15" s="763"/>
      <c r="AS15" s="471"/>
    </row>
    <row r="16" spans="1:50" s="3" customFormat="1" ht="150" customHeight="1">
      <c r="A16" s="767" t="s">
        <v>629</v>
      </c>
      <c r="B16" s="768"/>
      <c r="C16" s="768"/>
      <c r="D16" s="768"/>
      <c r="E16" s="769"/>
      <c r="F16" s="773" t="s">
        <v>627</v>
      </c>
      <c r="G16" s="774"/>
      <c r="H16" s="774"/>
      <c r="I16" s="774"/>
      <c r="J16" s="774"/>
      <c r="K16" s="774"/>
      <c r="L16" s="774"/>
      <c r="M16" s="774"/>
      <c r="N16" s="774"/>
      <c r="O16" s="774"/>
      <c r="P16" s="774"/>
      <c r="Q16" s="774"/>
      <c r="R16" s="774"/>
      <c r="S16" s="774"/>
      <c r="T16" s="774"/>
      <c r="U16" s="774"/>
      <c r="V16" s="774"/>
      <c r="W16" s="774"/>
      <c r="X16" s="774"/>
      <c r="Y16" s="774"/>
      <c r="Z16" s="774"/>
      <c r="AA16" s="774"/>
      <c r="AB16" s="774"/>
      <c r="AC16" s="774"/>
      <c r="AD16" s="774"/>
      <c r="AE16" s="774"/>
      <c r="AF16" s="774"/>
      <c r="AG16" s="775"/>
      <c r="AI16" s="135"/>
      <c r="AS16" s="136"/>
    </row>
    <row r="17" spans="1:45" ht="29.4" thickBot="1">
      <c r="AH17" s="3"/>
      <c r="AI17" s="135"/>
      <c r="AJ17" s="3"/>
      <c r="AK17" s="3"/>
      <c r="AL17" s="3"/>
      <c r="AM17" s="3"/>
      <c r="AN17" s="3"/>
      <c r="AO17" s="3"/>
      <c r="AP17" s="3"/>
      <c r="AQ17" s="3"/>
      <c r="AR17" s="3"/>
      <c r="AS17" s="136"/>
    </row>
    <row r="18" spans="1:45" s="6" customFormat="1" ht="60" customHeight="1">
      <c r="A18" s="731" t="s">
        <v>200</v>
      </c>
      <c r="B18" s="732"/>
      <c r="C18" s="278" t="s">
        <v>202</v>
      </c>
      <c r="D18" s="279"/>
      <c r="E18" s="280"/>
      <c r="F18" s="733" t="str">
        <f>VLOOKUP($F$20,'Weight &amp; Grade Def.'!$B$7:$D$46,2,0)</f>
        <v>E6</v>
      </c>
      <c r="G18" s="726" t="str">
        <f>IFERROR(VLOOKUP($AW$1,'Weight &amp; Grade Def.'!$G$6:$N$86,8,0),"-")</f>
        <v>จัดการกับงานสำคัญที่ได้รับมอบหมายตามขอบเขตงานให้สำเร็จลุล่วงได้โดยลำพัง ; ปรับเปลี่ยน หรือ ตรวจสอบ พร้อมทั้งแก้ไขปัญหาในระบบปฏิบัติการ หรือ กระบวนการทำงานที่มีอยู่ ณ ปัจจุบัน ; แก้ไขปัญหาในการปฏิบัติงานด้วยอำนาจที่มีอยู่อย่างจำกัด เพื่อจัดการทรัพยากรการดำเนินงานในขอบเขตที่ได้รับมอบหมาย ; โน้มน้าวหรืออธิบายข้อเท็จจริง แนวปฏิบัติ นโยบาย ต่อบุคคลที่เกี่ยวข้องทั้งภายในและภายนอก ; สอนความรู้ในงานให้แก่ระดับที่ต่ำกว่า ; มีความรู้ระดับก้าวหน้าในขอบเขตงานหนึ่ง</v>
      </c>
      <c r="H18" s="727"/>
      <c r="I18" s="727"/>
      <c r="J18" s="727"/>
      <c r="K18" s="727"/>
      <c r="L18" s="727"/>
      <c r="M18" s="727"/>
      <c r="N18" s="727"/>
      <c r="O18" s="727"/>
      <c r="P18" s="727"/>
      <c r="Q18" s="727"/>
      <c r="R18" s="727"/>
      <c r="S18" s="727"/>
      <c r="T18" s="727"/>
      <c r="U18" s="727"/>
      <c r="V18" s="727"/>
      <c r="W18" s="727"/>
      <c r="X18" s="727"/>
      <c r="Y18" s="727"/>
      <c r="Z18" s="727"/>
      <c r="AA18" s="727"/>
      <c r="AB18" s="727"/>
      <c r="AC18" s="727"/>
      <c r="AD18" s="727"/>
      <c r="AE18" s="727"/>
      <c r="AF18" s="727"/>
      <c r="AG18" s="728"/>
      <c r="AH18" s="3"/>
      <c r="AI18" s="764"/>
      <c r="AJ18" s="765"/>
      <c r="AK18" s="765"/>
      <c r="AL18" s="765"/>
      <c r="AM18" s="765"/>
      <c r="AN18" s="765"/>
      <c r="AO18" s="765"/>
      <c r="AP18" s="765"/>
      <c r="AQ18" s="765"/>
      <c r="AR18" s="765"/>
      <c r="AS18" s="766"/>
    </row>
    <row r="19" spans="1:45" s="6" customFormat="1" ht="60" customHeight="1" thickBot="1">
      <c r="A19" s="463"/>
      <c r="B19" s="464"/>
      <c r="C19" s="281"/>
      <c r="D19" s="282"/>
      <c r="E19" s="283"/>
      <c r="F19" s="734"/>
      <c r="G19" s="729"/>
      <c r="H19" s="334"/>
      <c r="I19" s="334"/>
      <c r="J19" s="334"/>
      <c r="K19" s="334"/>
      <c r="L19" s="334"/>
      <c r="M19" s="334"/>
      <c r="N19" s="334"/>
      <c r="O19" s="334"/>
      <c r="P19" s="334"/>
      <c r="Q19" s="334"/>
      <c r="R19" s="334"/>
      <c r="S19" s="334"/>
      <c r="T19" s="334"/>
      <c r="U19" s="334"/>
      <c r="V19" s="334"/>
      <c r="W19" s="334"/>
      <c r="X19" s="334"/>
      <c r="Y19" s="334"/>
      <c r="Z19" s="334"/>
      <c r="AA19" s="334"/>
      <c r="AB19" s="334"/>
      <c r="AC19" s="334"/>
      <c r="AD19" s="334"/>
      <c r="AE19" s="334"/>
      <c r="AF19" s="334"/>
      <c r="AG19" s="335"/>
      <c r="AH19" s="3"/>
      <c r="AI19" s="472" t="s">
        <v>520</v>
      </c>
      <c r="AJ19" s="776"/>
      <c r="AK19" s="776"/>
      <c r="AL19" s="776"/>
      <c r="AM19" s="776"/>
      <c r="AN19" s="776"/>
      <c r="AO19" s="776"/>
      <c r="AP19" s="776"/>
      <c r="AQ19" s="776"/>
      <c r="AR19" s="776"/>
      <c r="AS19" s="473"/>
    </row>
    <row r="20" spans="1:45" s="6" customFormat="1" ht="60" customHeight="1">
      <c r="A20" s="463"/>
      <c r="B20" s="464"/>
      <c r="C20" s="278" t="s">
        <v>201</v>
      </c>
      <c r="D20" s="279"/>
      <c r="E20" s="280"/>
      <c r="F20" s="724" t="str">
        <f>AT1</f>
        <v>E7</v>
      </c>
      <c r="G20" s="726" t="str">
        <f>IFERROR(VLOOKUP($AV$1,'Weight &amp; Grade Def.'!$G$6:$N$86,8,0),"-")</f>
        <v>จัดการกับงานที่ได้รับมอบหมายตามขอบเขตงานให้สำเร็จลุล่วงภายใต้การกำกับดูแลที่จำกัด ; ตรวจสอบ และ แก้ไขปัญหาในระบบปฏิบัติการ หรือ กระบวนการทำงานที่มีอยู่ ณ ปัจจุบัน ; แก้ไขปัญหาในงานที่มีการระบุไว้แล้วอย่างชัดเจนในขอบเขตที่ได้รับมอบหมาย ; อธิบายเกี่ยวกับข้อเท็จจริง แนวปฏิบัติ นโยบายแก่้ผู้มีส่วนเกี่ยวข้องหลักภายในได้ ; ให้คำชี้แนะเกี่ยวกับความรู้ในงานแก่ระดับที่ต่ำกว่า ; มีความรู้เกี่ยวกับงานในเชิงปฏิบัติในขอบเขตงานหนึ่ง</v>
      </c>
      <c r="H20" s="727"/>
      <c r="I20" s="727"/>
      <c r="J20" s="727"/>
      <c r="K20" s="727"/>
      <c r="L20" s="727"/>
      <c r="M20" s="727"/>
      <c r="N20" s="727"/>
      <c r="O20" s="727"/>
      <c r="P20" s="727"/>
      <c r="Q20" s="727"/>
      <c r="R20" s="727"/>
      <c r="S20" s="727"/>
      <c r="T20" s="727"/>
      <c r="U20" s="727"/>
      <c r="V20" s="727"/>
      <c r="W20" s="727"/>
      <c r="X20" s="727"/>
      <c r="Y20" s="727"/>
      <c r="Z20" s="727"/>
      <c r="AA20" s="727"/>
      <c r="AB20" s="727"/>
      <c r="AC20" s="727"/>
      <c r="AD20" s="727"/>
      <c r="AE20" s="727"/>
      <c r="AF20" s="727"/>
      <c r="AG20" s="728"/>
      <c r="AH20" s="3"/>
      <c r="AI20" s="135"/>
      <c r="AJ20" s="3"/>
      <c r="AK20" s="3"/>
      <c r="AL20" s="3"/>
      <c r="AM20" s="3"/>
      <c r="AN20" s="3"/>
      <c r="AO20" s="3"/>
      <c r="AP20" s="3"/>
      <c r="AQ20" s="3"/>
      <c r="AR20" s="3"/>
      <c r="AS20" s="136"/>
    </row>
    <row r="21" spans="1:45" s="6" customFormat="1" ht="60" customHeight="1" thickBot="1">
      <c r="A21" s="463"/>
      <c r="B21" s="464"/>
      <c r="C21" s="281"/>
      <c r="D21" s="282"/>
      <c r="E21" s="283"/>
      <c r="F21" s="725"/>
      <c r="G21" s="729"/>
      <c r="H21" s="334"/>
      <c r="I21" s="334"/>
      <c r="J21" s="334"/>
      <c r="K21" s="334"/>
      <c r="L21" s="334"/>
      <c r="M21" s="334"/>
      <c r="N21" s="334"/>
      <c r="O21" s="334"/>
      <c r="P21" s="334"/>
      <c r="Q21" s="334"/>
      <c r="R21" s="334"/>
      <c r="S21" s="334"/>
      <c r="T21" s="334"/>
      <c r="U21" s="334"/>
      <c r="V21" s="334"/>
      <c r="W21" s="334"/>
      <c r="X21" s="334"/>
      <c r="Y21" s="334"/>
      <c r="Z21" s="334"/>
      <c r="AA21" s="334"/>
      <c r="AB21" s="334"/>
      <c r="AC21" s="334"/>
      <c r="AD21" s="334"/>
      <c r="AE21" s="334"/>
      <c r="AF21" s="334"/>
      <c r="AG21" s="335"/>
      <c r="AH21" s="3"/>
      <c r="AI21" s="135"/>
      <c r="AJ21" s="3"/>
      <c r="AK21" s="3"/>
      <c r="AL21" s="3"/>
      <c r="AM21" s="3"/>
      <c r="AN21" s="3"/>
      <c r="AO21" s="3"/>
      <c r="AP21" s="3"/>
      <c r="AQ21" s="3"/>
      <c r="AR21" s="3"/>
      <c r="AS21" s="136"/>
    </row>
    <row r="22" spans="1:45" s="6" customFormat="1" ht="60" customHeight="1">
      <c r="A22" s="463"/>
      <c r="B22" s="464"/>
      <c r="C22" s="278" t="s">
        <v>203</v>
      </c>
      <c r="D22" s="279"/>
      <c r="E22" s="280"/>
      <c r="F22" s="733" t="str">
        <f>VLOOKUP($F$20,'Weight &amp; Grade Def.'!$B$7:$D$46,3,0)</f>
        <v>E8</v>
      </c>
      <c r="G22" s="726" t="str">
        <f>IFERROR(VLOOKUP($AX$1,'Weight &amp; Grade Def.'!$G$6:$N$86,8,0),"-")</f>
        <v>จัดการกับงานระดับพื้นฐานที่ได้รับมอบหมายตามขอบเขตงานให้สำเร็จลุล่วงภายใต้การกำกับดูแลทั่วไป ; ตรวจสอบระบบปฏิบัติการ หรือ กระบวนการทำงานที่มีอยู่ ณ ปัจจุบัน ; แก้ไขปัญหาในงานที่มีการระบุไว้แล้วอย่างชัดเจนในขอบเขตที่ได้รับมอบหมาย ; อธิบายเกี่ยวกับข้อเท็จจริง แนวการปฏิบัติ นโยบายแก่้ผู้มีส่วนเกี่ยวข้องหลักภายในได้ ; ให้คำชี้แนะเกี่ยวกับความรู้ในงานแก่ระดับที่ต่ำกว่า ; มีความรู้เกี่ยวกับงานในเชิงทฤษฎีในขอบเขตงานหนึ่ง</v>
      </c>
      <c r="H22" s="727"/>
      <c r="I22" s="727"/>
      <c r="J22" s="727"/>
      <c r="K22" s="727"/>
      <c r="L22" s="727"/>
      <c r="M22" s="727"/>
      <c r="N22" s="727"/>
      <c r="O22" s="727"/>
      <c r="P22" s="727"/>
      <c r="Q22" s="727"/>
      <c r="R22" s="727"/>
      <c r="S22" s="727"/>
      <c r="T22" s="727"/>
      <c r="U22" s="727"/>
      <c r="V22" s="727"/>
      <c r="W22" s="727"/>
      <c r="X22" s="727"/>
      <c r="Y22" s="727"/>
      <c r="Z22" s="727"/>
      <c r="AA22" s="727"/>
      <c r="AB22" s="727"/>
      <c r="AC22" s="727"/>
      <c r="AD22" s="727"/>
      <c r="AE22" s="727"/>
      <c r="AF22" s="727"/>
      <c r="AG22" s="728"/>
      <c r="AH22" s="3"/>
      <c r="AI22" s="135"/>
      <c r="AJ22" s="3"/>
      <c r="AK22" s="3"/>
      <c r="AL22" s="3"/>
      <c r="AM22" s="3"/>
      <c r="AN22" s="3"/>
      <c r="AO22" s="3"/>
      <c r="AP22" s="3"/>
      <c r="AQ22" s="3"/>
      <c r="AR22" s="3"/>
      <c r="AS22" s="136"/>
    </row>
    <row r="23" spans="1:45" s="6" customFormat="1" ht="60" customHeight="1" thickBot="1">
      <c r="A23" s="465"/>
      <c r="B23" s="466"/>
      <c r="C23" s="281"/>
      <c r="D23" s="282"/>
      <c r="E23" s="283"/>
      <c r="F23" s="734"/>
      <c r="G23" s="729"/>
      <c r="H23" s="334"/>
      <c r="I23" s="334"/>
      <c r="J23" s="334"/>
      <c r="K23" s="334"/>
      <c r="L23" s="334"/>
      <c r="M23" s="334"/>
      <c r="N23" s="334"/>
      <c r="O23" s="334"/>
      <c r="P23" s="334"/>
      <c r="Q23" s="334"/>
      <c r="R23" s="334"/>
      <c r="S23" s="334"/>
      <c r="T23" s="334"/>
      <c r="U23" s="334"/>
      <c r="V23" s="334"/>
      <c r="W23" s="334"/>
      <c r="X23" s="334"/>
      <c r="Y23" s="334"/>
      <c r="Z23" s="334"/>
      <c r="AA23" s="334"/>
      <c r="AB23" s="334"/>
      <c r="AC23" s="334"/>
      <c r="AD23" s="334"/>
      <c r="AE23" s="334"/>
      <c r="AF23" s="334"/>
      <c r="AG23" s="335"/>
      <c r="AH23" s="3"/>
      <c r="AI23" s="23"/>
      <c r="AJ23" s="24"/>
      <c r="AK23" s="24"/>
      <c r="AL23" s="24"/>
      <c r="AM23" s="24"/>
      <c r="AN23" s="24"/>
      <c r="AO23" s="24"/>
      <c r="AP23" s="24"/>
      <c r="AQ23" s="24"/>
      <c r="AR23" s="24"/>
      <c r="AS23" s="25"/>
    </row>
    <row r="24" spans="1:45" s="6" customFormat="1" ht="30" customHeight="1">
      <c r="A24" s="132"/>
      <c r="B24" s="132"/>
      <c r="C24" s="133"/>
      <c r="D24" s="133"/>
      <c r="E24" s="133"/>
      <c r="F24" s="133"/>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3"/>
      <c r="AI24" s="3"/>
      <c r="AJ24" s="3"/>
      <c r="AK24" s="3"/>
      <c r="AL24" s="3"/>
      <c r="AM24" s="3"/>
      <c r="AN24" s="3"/>
      <c r="AO24" s="3"/>
      <c r="AP24" s="3"/>
      <c r="AQ24" s="3"/>
      <c r="AR24" s="3"/>
      <c r="AS24" s="3"/>
    </row>
    <row r="25" spans="1:45" ht="30" customHeight="1" thickBot="1"/>
    <row r="26" spans="1:45" s="100" customFormat="1" ht="40.049999999999997" customHeight="1" thickBot="1">
      <c r="A26" s="101" t="s">
        <v>493</v>
      </c>
      <c r="B26" s="102"/>
      <c r="C26" s="102"/>
      <c r="D26" s="102"/>
      <c r="E26" s="102"/>
      <c r="F26" s="102"/>
      <c r="G26" s="102"/>
      <c r="H26" s="103"/>
      <c r="I26" s="103"/>
      <c r="J26" s="103"/>
      <c r="K26" s="147">
        <f>VLOOKUP($AT$1,'Weight &amp; Grade Def.'!$B$7:$M$46,10,0)</f>
        <v>60</v>
      </c>
      <c r="L26" s="102" t="s">
        <v>503</v>
      </c>
      <c r="M26" s="103"/>
      <c r="N26" s="103"/>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4"/>
    </row>
    <row r="27" spans="1:4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row>
    <row r="28" spans="1:45" s="3" customFormat="1" ht="67.95" customHeight="1">
      <c r="A28" s="695" t="s">
        <v>505</v>
      </c>
      <c r="B28" s="709" t="s">
        <v>504</v>
      </c>
      <c r="C28" s="710"/>
      <c r="D28" s="710"/>
      <c r="E28" s="711"/>
      <c r="F28" s="633" t="s">
        <v>500</v>
      </c>
      <c r="G28" s="634"/>
      <c r="H28" s="634"/>
      <c r="I28" s="634"/>
      <c r="J28" s="634"/>
      <c r="K28" s="634"/>
      <c r="L28" s="634"/>
      <c r="M28" s="634"/>
      <c r="N28" s="634"/>
      <c r="O28" s="634"/>
      <c r="P28" s="634"/>
      <c r="Q28" s="634"/>
      <c r="R28" s="634"/>
      <c r="S28" s="634"/>
      <c r="T28" s="634"/>
      <c r="U28" s="634"/>
      <c r="V28" s="634"/>
      <c r="W28" s="634"/>
      <c r="X28" s="634"/>
      <c r="Y28" s="635"/>
      <c r="Z28" s="356" t="s">
        <v>618</v>
      </c>
      <c r="AA28" s="543"/>
      <c r="AB28" s="543"/>
      <c r="AC28" s="543"/>
      <c r="AD28" s="543"/>
      <c r="AE28" s="543"/>
      <c r="AF28" s="543"/>
      <c r="AG28" s="543"/>
      <c r="AH28" s="543"/>
      <c r="AI28" s="543"/>
      <c r="AJ28" s="543"/>
      <c r="AK28" s="543"/>
      <c r="AL28" s="543"/>
      <c r="AM28" s="543"/>
      <c r="AN28" s="543"/>
      <c r="AO28" s="543"/>
      <c r="AP28" s="543"/>
      <c r="AQ28" s="543"/>
      <c r="AR28" s="543"/>
      <c r="AS28" s="544"/>
    </row>
    <row r="29" spans="1:45" ht="67.95" customHeight="1">
      <c r="A29" s="696"/>
      <c r="B29" s="712"/>
      <c r="C29" s="713"/>
      <c r="D29" s="713"/>
      <c r="E29" s="714"/>
      <c r="F29" s="782" t="s">
        <v>614</v>
      </c>
      <c r="G29" s="783"/>
      <c r="H29" s="784"/>
      <c r="I29" s="791" t="s">
        <v>615</v>
      </c>
      <c r="J29" s="782" t="s">
        <v>616</v>
      </c>
      <c r="K29" s="783"/>
      <c r="L29" s="784"/>
      <c r="M29" s="794" t="s">
        <v>617</v>
      </c>
      <c r="N29" s="795"/>
      <c r="O29" s="796"/>
      <c r="P29" s="791" t="s">
        <v>506</v>
      </c>
      <c r="Q29" s="287" t="s">
        <v>633</v>
      </c>
      <c r="R29" s="718"/>
      <c r="S29" s="719"/>
      <c r="T29" s="287" t="s">
        <v>634</v>
      </c>
      <c r="U29" s="718"/>
      <c r="V29" s="719"/>
      <c r="W29" s="287" t="s">
        <v>635</v>
      </c>
      <c r="X29" s="718"/>
      <c r="Y29" s="719"/>
      <c r="Z29" s="545" t="s">
        <v>614</v>
      </c>
      <c r="AA29" s="546"/>
      <c r="AB29" s="547"/>
      <c r="AC29" s="554" t="s">
        <v>615</v>
      </c>
      <c r="AD29" s="545" t="s">
        <v>616</v>
      </c>
      <c r="AE29" s="546"/>
      <c r="AF29" s="547"/>
      <c r="AG29" s="568" t="s">
        <v>617</v>
      </c>
      <c r="AH29" s="569"/>
      <c r="AI29" s="570"/>
      <c r="AJ29" s="554" t="s">
        <v>506</v>
      </c>
      <c r="AK29" s="356" t="s">
        <v>633</v>
      </c>
      <c r="AL29" s="543"/>
      <c r="AM29" s="544"/>
      <c r="AN29" s="356" t="s">
        <v>634</v>
      </c>
      <c r="AO29" s="543"/>
      <c r="AP29" s="544"/>
      <c r="AQ29" s="356" t="s">
        <v>635</v>
      </c>
      <c r="AR29" s="543"/>
      <c r="AS29" s="544"/>
    </row>
    <row r="30" spans="1:45" ht="60" customHeight="1">
      <c r="A30" s="696"/>
      <c r="B30" s="712"/>
      <c r="C30" s="713"/>
      <c r="D30" s="713"/>
      <c r="E30" s="714"/>
      <c r="F30" s="785"/>
      <c r="G30" s="786"/>
      <c r="H30" s="787"/>
      <c r="I30" s="792"/>
      <c r="J30" s="785"/>
      <c r="K30" s="786"/>
      <c r="L30" s="787"/>
      <c r="M30" s="797"/>
      <c r="N30" s="798"/>
      <c r="O30" s="799"/>
      <c r="P30" s="792"/>
      <c r="Q30" s="15" t="s">
        <v>9</v>
      </c>
      <c r="R30" s="720" t="s">
        <v>501</v>
      </c>
      <c r="S30" s="721"/>
      <c r="T30" s="15" t="s">
        <v>9</v>
      </c>
      <c r="U30" s="720" t="s">
        <v>501</v>
      </c>
      <c r="V30" s="721"/>
      <c r="W30" s="15" t="s">
        <v>9</v>
      </c>
      <c r="X30" s="720" t="s">
        <v>501</v>
      </c>
      <c r="Y30" s="721"/>
      <c r="Z30" s="548"/>
      <c r="AA30" s="549"/>
      <c r="AB30" s="550"/>
      <c r="AC30" s="555"/>
      <c r="AD30" s="548"/>
      <c r="AE30" s="549"/>
      <c r="AF30" s="550"/>
      <c r="AG30" s="571"/>
      <c r="AH30" s="572"/>
      <c r="AI30" s="573"/>
      <c r="AJ30" s="555"/>
      <c r="AK30" s="69" t="s">
        <v>9</v>
      </c>
      <c r="AL30" s="564" t="s">
        <v>501</v>
      </c>
      <c r="AM30" s="565"/>
      <c r="AN30" s="69" t="s">
        <v>9</v>
      </c>
      <c r="AO30" s="564" t="s">
        <v>501</v>
      </c>
      <c r="AP30" s="565"/>
      <c r="AQ30" s="69" t="s">
        <v>9</v>
      </c>
      <c r="AR30" s="564" t="s">
        <v>501</v>
      </c>
      <c r="AS30" s="565"/>
    </row>
    <row r="31" spans="1:45" ht="60" customHeight="1">
      <c r="A31" s="697"/>
      <c r="B31" s="715"/>
      <c r="C31" s="716"/>
      <c r="D31" s="716"/>
      <c r="E31" s="717"/>
      <c r="F31" s="788"/>
      <c r="G31" s="789"/>
      <c r="H31" s="790"/>
      <c r="I31" s="793"/>
      <c r="J31" s="788"/>
      <c r="K31" s="789"/>
      <c r="L31" s="790"/>
      <c r="M31" s="310"/>
      <c r="N31" s="311"/>
      <c r="O31" s="312"/>
      <c r="P31" s="793"/>
      <c r="Q31" s="37" t="s">
        <v>214</v>
      </c>
      <c r="R31" s="722"/>
      <c r="S31" s="723"/>
      <c r="T31" s="37" t="s">
        <v>214</v>
      </c>
      <c r="U31" s="722"/>
      <c r="V31" s="723"/>
      <c r="W31" s="37" t="s">
        <v>214</v>
      </c>
      <c r="X31" s="722"/>
      <c r="Y31" s="723"/>
      <c r="Z31" s="551"/>
      <c r="AA31" s="552"/>
      <c r="AB31" s="553"/>
      <c r="AC31" s="556"/>
      <c r="AD31" s="551"/>
      <c r="AE31" s="552"/>
      <c r="AF31" s="553"/>
      <c r="AG31" s="339"/>
      <c r="AH31" s="340"/>
      <c r="AI31" s="341"/>
      <c r="AJ31" s="556"/>
      <c r="AK31" s="38" t="s">
        <v>214</v>
      </c>
      <c r="AL31" s="566"/>
      <c r="AM31" s="567"/>
      <c r="AN31" s="38" t="s">
        <v>214</v>
      </c>
      <c r="AO31" s="566"/>
      <c r="AP31" s="567"/>
      <c r="AQ31" s="38" t="s">
        <v>214</v>
      </c>
      <c r="AR31" s="566"/>
      <c r="AS31" s="567"/>
    </row>
    <row r="32" spans="1:45" ht="30" customHeight="1">
      <c r="A32" s="498" t="s">
        <v>494</v>
      </c>
      <c r="B32" s="580"/>
      <c r="C32" s="581"/>
      <c r="D32" s="581"/>
      <c r="E32" s="582"/>
      <c r="F32" s="580"/>
      <c r="G32" s="581"/>
      <c r="H32" s="582"/>
      <c r="I32" s="498"/>
      <c r="J32" s="516"/>
      <c r="K32" s="517"/>
      <c r="L32" s="518"/>
      <c r="M32" s="580"/>
      <c r="N32" s="581"/>
      <c r="O32" s="582"/>
      <c r="P32" s="525"/>
      <c r="Q32" s="612"/>
      <c r="R32" s="601"/>
      <c r="S32" s="602"/>
      <c r="T32" s="612"/>
      <c r="U32" s="589"/>
      <c r="V32" s="590"/>
      <c r="W32" s="612"/>
      <c r="X32" s="595"/>
      <c r="Y32" s="596"/>
      <c r="Z32" s="580"/>
      <c r="AA32" s="581"/>
      <c r="AB32" s="582"/>
      <c r="AC32" s="498"/>
      <c r="AD32" s="516"/>
      <c r="AE32" s="517"/>
      <c r="AF32" s="518"/>
      <c r="AG32" s="580"/>
      <c r="AH32" s="581"/>
      <c r="AI32" s="582"/>
      <c r="AJ32" s="525"/>
      <c r="AK32" s="507"/>
      <c r="AL32" s="574"/>
      <c r="AM32" s="575"/>
      <c r="AN32" s="507"/>
      <c r="AO32" s="501"/>
      <c r="AP32" s="502"/>
      <c r="AQ32" s="507"/>
      <c r="AR32" s="501"/>
      <c r="AS32" s="502"/>
    </row>
    <row r="33" spans="1:45" ht="30" customHeight="1">
      <c r="A33" s="499"/>
      <c r="B33" s="583"/>
      <c r="C33" s="584"/>
      <c r="D33" s="584"/>
      <c r="E33" s="585"/>
      <c r="F33" s="583"/>
      <c r="G33" s="584"/>
      <c r="H33" s="585"/>
      <c r="I33" s="499"/>
      <c r="J33" s="519"/>
      <c r="K33" s="520"/>
      <c r="L33" s="521"/>
      <c r="M33" s="583"/>
      <c r="N33" s="584"/>
      <c r="O33" s="585"/>
      <c r="P33" s="526"/>
      <c r="Q33" s="613"/>
      <c r="R33" s="603"/>
      <c r="S33" s="604"/>
      <c r="T33" s="613"/>
      <c r="U33" s="591"/>
      <c r="V33" s="592"/>
      <c r="W33" s="613"/>
      <c r="X33" s="597"/>
      <c r="Y33" s="598"/>
      <c r="Z33" s="583"/>
      <c r="AA33" s="584"/>
      <c r="AB33" s="585"/>
      <c r="AC33" s="499"/>
      <c r="AD33" s="519"/>
      <c r="AE33" s="520"/>
      <c r="AF33" s="521"/>
      <c r="AG33" s="583"/>
      <c r="AH33" s="584"/>
      <c r="AI33" s="585"/>
      <c r="AJ33" s="526"/>
      <c r="AK33" s="508"/>
      <c r="AL33" s="576"/>
      <c r="AM33" s="577"/>
      <c r="AN33" s="508"/>
      <c r="AO33" s="503"/>
      <c r="AP33" s="504"/>
      <c r="AQ33" s="508"/>
      <c r="AR33" s="503"/>
      <c r="AS33" s="504"/>
    </row>
    <row r="34" spans="1:45" ht="30" customHeight="1">
      <c r="A34" s="499"/>
      <c r="B34" s="583"/>
      <c r="C34" s="584"/>
      <c r="D34" s="584"/>
      <c r="E34" s="585"/>
      <c r="F34" s="583"/>
      <c r="G34" s="584"/>
      <c r="H34" s="585"/>
      <c r="I34" s="499"/>
      <c r="J34" s="519"/>
      <c r="K34" s="520"/>
      <c r="L34" s="521"/>
      <c r="M34" s="583"/>
      <c r="N34" s="584"/>
      <c r="O34" s="585"/>
      <c r="P34" s="526"/>
      <c r="Q34" s="613"/>
      <c r="R34" s="603"/>
      <c r="S34" s="604"/>
      <c r="T34" s="613"/>
      <c r="U34" s="591"/>
      <c r="V34" s="592"/>
      <c r="W34" s="613"/>
      <c r="X34" s="597"/>
      <c r="Y34" s="598"/>
      <c r="Z34" s="583"/>
      <c r="AA34" s="584"/>
      <c r="AB34" s="585"/>
      <c r="AC34" s="499"/>
      <c r="AD34" s="519"/>
      <c r="AE34" s="520"/>
      <c r="AF34" s="521"/>
      <c r="AG34" s="583"/>
      <c r="AH34" s="584"/>
      <c r="AI34" s="585"/>
      <c r="AJ34" s="526"/>
      <c r="AK34" s="508"/>
      <c r="AL34" s="576"/>
      <c r="AM34" s="577"/>
      <c r="AN34" s="508"/>
      <c r="AO34" s="503"/>
      <c r="AP34" s="504"/>
      <c r="AQ34" s="508"/>
      <c r="AR34" s="503"/>
      <c r="AS34" s="504"/>
    </row>
    <row r="35" spans="1:45" ht="30" customHeight="1">
      <c r="A35" s="499"/>
      <c r="B35" s="583"/>
      <c r="C35" s="584"/>
      <c r="D35" s="584"/>
      <c r="E35" s="585"/>
      <c r="F35" s="583"/>
      <c r="G35" s="584"/>
      <c r="H35" s="585"/>
      <c r="I35" s="499"/>
      <c r="J35" s="519"/>
      <c r="K35" s="520"/>
      <c r="L35" s="521"/>
      <c r="M35" s="583"/>
      <c r="N35" s="584"/>
      <c r="O35" s="585"/>
      <c r="P35" s="526"/>
      <c r="Q35" s="613"/>
      <c r="R35" s="603"/>
      <c r="S35" s="604"/>
      <c r="T35" s="613"/>
      <c r="U35" s="591"/>
      <c r="V35" s="592"/>
      <c r="W35" s="613"/>
      <c r="X35" s="597"/>
      <c r="Y35" s="598"/>
      <c r="Z35" s="583"/>
      <c r="AA35" s="584"/>
      <c r="AB35" s="585"/>
      <c r="AC35" s="499"/>
      <c r="AD35" s="519"/>
      <c r="AE35" s="520"/>
      <c r="AF35" s="521"/>
      <c r="AG35" s="583"/>
      <c r="AH35" s="584"/>
      <c r="AI35" s="585"/>
      <c r="AJ35" s="526"/>
      <c r="AK35" s="508"/>
      <c r="AL35" s="576"/>
      <c r="AM35" s="577"/>
      <c r="AN35" s="508"/>
      <c r="AO35" s="503"/>
      <c r="AP35" s="504"/>
      <c r="AQ35" s="508"/>
      <c r="AR35" s="503"/>
      <c r="AS35" s="504"/>
    </row>
    <row r="36" spans="1:45" ht="30" customHeight="1">
      <c r="A36" s="499"/>
      <c r="B36" s="583"/>
      <c r="C36" s="584"/>
      <c r="D36" s="584"/>
      <c r="E36" s="585"/>
      <c r="F36" s="583"/>
      <c r="G36" s="584"/>
      <c r="H36" s="585"/>
      <c r="I36" s="499"/>
      <c r="J36" s="519"/>
      <c r="K36" s="520"/>
      <c r="L36" s="521"/>
      <c r="M36" s="583"/>
      <c r="N36" s="584"/>
      <c r="O36" s="585"/>
      <c r="P36" s="526"/>
      <c r="Q36" s="613"/>
      <c r="R36" s="603"/>
      <c r="S36" s="604"/>
      <c r="T36" s="613"/>
      <c r="U36" s="591"/>
      <c r="V36" s="592"/>
      <c r="W36" s="613"/>
      <c r="X36" s="597"/>
      <c r="Y36" s="598"/>
      <c r="Z36" s="583"/>
      <c r="AA36" s="584"/>
      <c r="AB36" s="585"/>
      <c r="AC36" s="499"/>
      <c r="AD36" s="519"/>
      <c r="AE36" s="520"/>
      <c r="AF36" s="521"/>
      <c r="AG36" s="583"/>
      <c r="AH36" s="584"/>
      <c r="AI36" s="585"/>
      <c r="AJ36" s="526"/>
      <c r="AK36" s="508"/>
      <c r="AL36" s="576"/>
      <c r="AM36" s="577"/>
      <c r="AN36" s="508"/>
      <c r="AO36" s="503"/>
      <c r="AP36" s="504"/>
      <c r="AQ36" s="508"/>
      <c r="AR36" s="503"/>
      <c r="AS36" s="504"/>
    </row>
    <row r="37" spans="1:45" ht="30" customHeight="1">
      <c r="A37" s="500"/>
      <c r="B37" s="586"/>
      <c r="C37" s="587"/>
      <c r="D37" s="587"/>
      <c r="E37" s="588"/>
      <c r="F37" s="586"/>
      <c r="G37" s="587"/>
      <c r="H37" s="588"/>
      <c r="I37" s="500"/>
      <c r="J37" s="522"/>
      <c r="K37" s="523"/>
      <c r="L37" s="524"/>
      <c r="M37" s="586"/>
      <c r="N37" s="587"/>
      <c r="O37" s="588"/>
      <c r="P37" s="527"/>
      <c r="Q37" s="614"/>
      <c r="R37" s="605"/>
      <c r="S37" s="606"/>
      <c r="T37" s="614"/>
      <c r="U37" s="593"/>
      <c r="V37" s="594"/>
      <c r="W37" s="614"/>
      <c r="X37" s="599"/>
      <c r="Y37" s="600"/>
      <c r="Z37" s="586"/>
      <c r="AA37" s="587"/>
      <c r="AB37" s="588"/>
      <c r="AC37" s="500"/>
      <c r="AD37" s="522"/>
      <c r="AE37" s="523"/>
      <c r="AF37" s="524"/>
      <c r="AG37" s="586"/>
      <c r="AH37" s="587"/>
      <c r="AI37" s="588"/>
      <c r="AJ37" s="527"/>
      <c r="AK37" s="509"/>
      <c r="AL37" s="578"/>
      <c r="AM37" s="579"/>
      <c r="AN37" s="509"/>
      <c r="AO37" s="505"/>
      <c r="AP37" s="506"/>
      <c r="AQ37" s="509"/>
      <c r="AR37" s="505"/>
      <c r="AS37" s="506"/>
    </row>
    <row r="38" spans="1:45" ht="30" customHeight="1">
      <c r="A38" s="498" t="s">
        <v>495</v>
      </c>
      <c r="B38" s="580"/>
      <c r="C38" s="581"/>
      <c r="D38" s="581"/>
      <c r="E38" s="582"/>
      <c r="F38" s="580"/>
      <c r="G38" s="581"/>
      <c r="H38" s="582"/>
      <c r="I38" s="498"/>
      <c r="J38" s="516"/>
      <c r="K38" s="517"/>
      <c r="L38" s="518"/>
      <c r="M38" s="580"/>
      <c r="N38" s="581"/>
      <c r="O38" s="582"/>
      <c r="P38" s="525"/>
      <c r="Q38" s="612"/>
      <c r="R38" s="601"/>
      <c r="S38" s="607"/>
      <c r="T38" s="612"/>
      <c r="U38" s="589"/>
      <c r="V38" s="590"/>
      <c r="W38" s="612"/>
      <c r="X38" s="595"/>
      <c r="Y38" s="596"/>
      <c r="Z38" s="580"/>
      <c r="AA38" s="581"/>
      <c r="AB38" s="582"/>
      <c r="AC38" s="498"/>
      <c r="AD38" s="516"/>
      <c r="AE38" s="517"/>
      <c r="AF38" s="518"/>
      <c r="AG38" s="580"/>
      <c r="AH38" s="581"/>
      <c r="AI38" s="582"/>
      <c r="AJ38" s="525"/>
      <c r="AK38" s="507"/>
      <c r="AL38" s="615"/>
      <c r="AM38" s="616"/>
      <c r="AN38" s="507"/>
      <c r="AO38" s="537"/>
      <c r="AP38" s="538"/>
      <c r="AQ38" s="507"/>
      <c r="AR38" s="501"/>
      <c r="AS38" s="502"/>
    </row>
    <row r="39" spans="1:45" ht="30" customHeight="1">
      <c r="A39" s="499"/>
      <c r="B39" s="583"/>
      <c r="C39" s="584"/>
      <c r="D39" s="584"/>
      <c r="E39" s="585"/>
      <c r="F39" s="583"/>
      <c r="G39" s="584"/>
      <c r="H39" s="585"/>
      <c r="I39" s="499"/>
      <c r="J39" s="519"/>
      <c r="K39" s="520"/>
      <c r="L39" s="521"/>
      <c r="M39" s="583"/>
      <c r="N39" s="584"/>
      <c r="O39" s="585"/>
      <c r="P39" s="526"/>
      <c r="Q39" s="613"/>
      <c r="R39" s="608"/>
      <c r="S39" s="609"/>
      <c r="T39" s="613"/>
      <c r="U39" s="591"/>
      <c r="V39" s="592"/>
      <c r="W39" s="613"/>
      <c r="X39" s="597"/>
      <c r="Y39" s="598"/>
      <c r="Z39" s="583"/>
      <c r="AA39" s="584"/>
      <c r="AB39" s="585"/>
      <c r="AC39" s="499"/>
      <c r="AD39" s="519"/>
      <c r="AE39" s="520"/>
      <c r="AF39" s="521"/>
      <c r="AG39" s="583"/>
      <c r="AH39" s="584"/>
      <c r="AI39" s="585"/>
      <c r="AJ39" s="526"/>
      <c r="AK39" s="508"/>
      <c r="AL39" s="617"/>
      <c r="AM39" s="618"/>
      <c r="AN39" s="508"/>
      <c r="AO39" s="539"/>
      <c r="AP39" s="540"/>
      <c r="AQ39" s="508"/>
      <c r="AR39" s="503"/>
      <c r="AS39" s="504"/>
    </row>
    <row r="40" spans="1:45" ht="30" customHeight="1">
      <c r="A40" s="499"/>
      <c r="B40" s="583"/>
      <c r="C40" s="584"/>
      <c r="D40" s="584"/>
      <c r="E40" s="585"/>
      <c r="F40" s="583"/>
      <c r="G40" s="584"/>
      <c r="H40" s="585"/>
      <c r="I40" s="499"/>
      <c r="J40" s="519"/>
      <c r="K40" s="520"/>
      <c r="L40" s="521"/>
      <c r="M40" s="583"/>
      <c r="N40" s="584"/>
      <c r="O40" s="585"/>
      <c r="P40" s="526"/>
      <c r="Q40" s="613"/>
      <c r="R40" s="608"/>
      <c r="S40" s="609"/>
      <c r="T40" s="613"/>
      <c r="U40" s="591"/>
      <c r="V40" s="592"/>
      <c r="W40" s="613"/>
      <c r="X40" s="597"/>
      <c r="Y40" s="598"/>
      <c r="Z40" s="583"/>
      <c r="AA40" s="584"/>
      <c r="AB40" s="585"/>
      <c r="AC40" s="499"/>
      <c r="AD40" s="519"/>
      <c r="AE40" s="520"/>
      <c r="AF40" s="521"/>
      <c r="AG40" s="583"/>
      <c r="AH40" s="584"/>
      <c r="AI40" s="585"/>
      <c r="AJ40" s="526"/>
      <c r="AK40" s="508"/>
      <c r="AL40" s="617"/>
      <c r="AM40" s="618"/>
      <c r="AN40" s="508"/>
      <c r="AO40" s="539"/>
      <c r="AP40" s="540"/>
      <c r="AQ40" s="508"/>
      <c r="AR40" s="503"/>
      <c r="AS40" s="504"/>
    </row>
    <row r="41" spans="1:45" ht="30" customHeight="1">
      <c r="A41" s="499"/>
      <c r="B41" s="583"/>
      <c r="C41" s="584"/>
      <c r="D41" s="584"/>
      <c r="E41" s="585"/>
      <c r="F41" s="583"/>
      <c r="G41" s="584"/>
      <c r="H41" s="585"/>
      <c r="I41" s="499"/>
      <c r="J41" s="519"/>
      <c r="K41" s="520"/>
      <c r="L41" s="521"/>
      <c r="M41" s="583"/>
      <c r="N41" s="584"/>
      <c r="O41" s="585"/>
      <c r="P41" s="526"/>
      <c r="Q41" s="613"/>
      <c r="R41" s="608"/>
      <c r="S41" s="609"/>
      <c r="T41" s="613"/>
      <c r="U41" s="591"/>
      <c r="V41" s="592"/>
      <c r="W41" s="613"/>
      <c r="X41" s="597"/>
      <c r="Y41" s="598"/>
      <c r="Z41" s="583"/>
      <c r="AA41" s="584"/>
      <c r="AB41" s="585"/>
      <c r="AC41" s="499"/>
      <c r="AD41" s="519"/>
      <c r="AE41" s="520"/>
      <c r="AF41" s="521"/>
      <c r="AG41" s="583"/>
      <c r="AH41" s="584"/>
      <c r="AI41" s="585"/>
      <c r="AJ41" s="526"/>
      <c r="AK41" s="508"/>
      <c r="AL41" s="617"/>
      <c r="AM41" s="618"/>
      <c r="AN41" s="508"/>
      <c r="AO41" s="539"/>
      <c r="AP41" s="540"/>
      <c r="AQ41" s="508"/>
      <c r="AR41" s="503"/>
      <c r="AS41" s="504"/>
    </row>
    <row r="42" spans="1:45" ht="30" customHeight="1">
      <c r="A42" s="499"/>
      <c r="B42" s="583"/>
      <c r="C42" s="584"/>
      <c r="D42" s="584"/>
      <c r="E42" s="585"/>
      <c r="F42" s="583"/>
      <c r="G42" s="584"/>
      <c r="H42" s="585"/>
      <c r="I42" s="499"/>
      <c r="J42" s="519"/>
      <c r="K42" s="520"/>
      <c r="L42" s="521"/>
      <c r="M42" s="583"/>
      <c r="N42" s="584"/>
      <c r="O42" s="585"/>
      <c r="P42" s="526"/>
      <c r="Q42" s="613"/>
      <c r="R42" s="608"/>
      <c r="S42" s="609"/>
      <c r="T42" s="613"/>
      <c r="U42" s="591"/>
      <c r="V42" s="592"/>
      <c r="W42" s="613"/>
      <c r="X42" s="597"/>
      <c r="Y42" s="598"/>
      <c r="Z42" s="583"/>
      <c r="AA42" s="584"/>
      <c r="AB42" s="585"/>
      <c r="AC42" s="499"/>
      <c r="AD42" s="519"/>
      <c r="AE42" s="520"/>
      <c r="AF42" s="521"/>
      <c r="AG42" s="583"/>
      <c r="AH42" s="584"/>
      <c r="AI42" s="585"/>
      <c r="AJ42" s="526"/>
      <c r="AK42" s="508"/>
      <c r="AL42" s="617"/>
      <c r="AM42" s="618"/>
      <c r="AN42" s="508"/>
      <c r="AO42" s="539"/>
      <c r="AP42" s="540"/>
      <c r="AQ42" s="508"/>
      <c r="AR42" s="503"/>
      <c r="AS42" s="504"/>
    </row>
    <row r="43" spans="1:45" ht="30" customHeight="1">
      <c r="A43" s="500"/>
      <c r="B43" s="586"/>
      <c r="C43" s="587"/>
      <c r="D43" s="587"/>
      <c r="E43" s="588"/>
      <c r="F43" s="586"/>
      <c r="G43" s="587"/>
      <c r="H43" s="588"/>
      <c r="I43" s="500"/>
      <c r="J43" s="522"/>
      <c r="K43" s="523"/>
      <c r="L43" s="524"/>
      <c r="M43" s="586"/>
      <c r="N43" s="587"/>
      <c r="O43" s="588"/>
      <c r="P43" s="527"/>
      <c r="Q43" s="614"/>
      <c r="R43" s="610"/>
      <c r="S43" s="611"/>
      <c r="T43" s="614"/>
      <c r="U43" s="593"/>
      <c r="V43" s="594"/>
      <c r="W43" s="614"/>
      <c r="X43" s="599"/>
      <c r="Y43" s="600"/>
      <c r="Z43" s="586"/>
      <c r="AA43" s="587"/>
      <c r="AB43" s="588"/>
      <c r="AC43" s="500"/>
      <c r="AD43" s="522"/>
      <c r="AE43" s="523"/>
      <c r="AF43" s="524"/>
      <c r="AG43" s="586"/>
      <c r="AH43" s="587"/>
      <c r="AI43" s="588"/>
      <c r="AJ43" s="527"/>
      <c r="AK43" s="509"/>
      <c r="AL43" s="619"/>
      <c r="AM43" s="620"/>
      <c r="AN43" s="509"/>
      <c r="AO43" s="541"/>
      <c r="AP43" s="542"/>
      <c r="AQ43" s="509"/>
      <c r="AR43" s="505"/>
      <c r="AS43" s="506"/>
    </row>
    <row r="44" spans="1:45" ht="30" customHeight="1">
      <c r="A44" s="498" t="s">
        <v>496</v>
      </c>
      <c r="B44" s="580"/>
      <c r="C44" s="581"/>
      <c r="D44" s="581"/>
      <c r="E44" s="582"/>
      <c r="F44" s="580"/>
      <c r="G44" s="581"/>
      <c r="H44" s="582"/>
      <c r="I44" s="498"/>
      <c r="J44" s="516"/>
      <c r="K44" s="517"/>
      <c r="L44" s="518"/>
      <c r="M44" s="580"/>
      <c r="N44" s="581"/>
      <c r="O44" s="582"/>
      <c r="P44" s="525"/>
      <c r="Q44" s="612"/>
      <c r="R44" s="601"/>
      <c r="S44" s="607"/>
      <c r="T44" s="612"/>
      <c r="U44" s="589"/>
      <c r="V44" s="590"/>
      <c r="W44" s="612"/>
      <c r="X44" s="595"/>
      <c r="Y44" s="596"/>
      <c r="Z44" s="580"/>
      <c r="AA44" s="581"/>
      <c r="AB44" s="582"/>
      <c r="AC44" s="498"/>
      <c r="AD44" s="516"/>
      <c r="AE44" s="517"/>
      <c r="AF44" s="518"/>
      <c r="AG44" s="580"/>
      <c r="AH44" s="581"/>
      <c r="AI44" s="582"/>
      <c r="AJ44" s="525"/>
      <c r="AK44" s="507"/>
      <c r="AL44" s="735"/>
      <c r="AM44" s="736"/>
      <c r="AN44" s="507"/>
      <c r="AO44" s="741"/>
      <c r="AP44" s="742"/>
      <c r="AQ44" s="507"/>
      <c r="AR44" s="501"/>
      <c r="AS44" s="502"/>
    </row>
    <row r="45" spans="1:45" ht="30" customHeight="1">
      <c r="A45" s="499"/>
      <c r="B45" s="583"/>
      <c r="C45" s="584"/>
      <c r="D45" s="584"/>
      <c r="E45" s="585"/>
      <c r="F45" s="583"/>
      <c r="G45" s="584"/>
      <c r="H45" s="585"/>
      <c r="I45" s="499"/>
      <c r="J45" s="519"/>
      <c r="K45" s="520"/>
      <c r="L45" s="521"/>
      <c r="M45" s="583"/>
      <c r="N45" s="584"/>
      <c r="O45" s="585"/>
      <c r="P45" s="526"/>
      <c r="Q45" s="613"/>
      <c r="R45" s="608"/>
      <c r="S45" s="609"/>
      <c r="T45" s="613"/>
      <c r="U45" s="591"/>
      <c r="V45" s="592"/>
      <c r="W45" s="613"/>
      <c r="X45" s="597"/>
      <c r="Y45" s="598"/>
      <c r="Z45" s="583"/>
      <c r="AA45" s="584"/>
      <c r="AB45" s="585"/>
      <c r="AC45" s="499"/>
      <c r="AD45" s="519"/>
      <c r="AE45" s="520"/>
      <c r="AF45" s="521"/>
      <c r="AG45" s="583"/>
      <c r="AH45" s="584"/>
      <c r="AI45" s="585"/>
      <c r="AJ45" s="526"/>
      <c r="AK45" s="508"/>
      <c r="AL45" s="737"/>
      <c r="AM45" s="738"/>
      <c r="AN45" s="508"/>
      <c r="AO45" s="743"/>
      <c r="AP45" s="744"/>
      <c r="AQ45" s="508"/>
      <c r="AR45" s="503"/>
      <c r="AS45" s="504"/>
    </row>
    <row r="46" spans="1:45" ht="30" customHeight="1">
      <c r="A46" s="499"/>
      <c r="B46" s="583"/>
      <c r="C46" s="584"/>
      <c r="D46" s="584"/>
      <c r="E46" s="585"/>
      <c r="F46" s="583"/>
      <c r="G46" s="584"/>
      <c r="H46" s="585"/>
      <c r="I46" s="499"/>
      <c r="J46" s="519"/>
      <c r="K46" s="520"/>
      <c r="L46" s="521"/>
      <c r="M46" s="583"/>
      <c r="N46" s="584"/>
      <c r="O46" s="585"/>
      <c r="P46" s="526"/>
      <c r="Q46" s="613"/>
      <c r="R46" s="608"/>
      <c r="S46" s="609"/>
      <c r="T46" s="613"/>
      <c r="U46" s="591"/>
      <c r="V46" s="592"/>
      <c r="W46" s="613"/>
      <c r="X46" s="597"/>
      <c r="Y46" s="598"/>
      <c r="Z46" s="583"/>
      <c r="AA46" s="584"/>
      <c r="AB46" s="585"/>
      <c r="AC46" s="499"/>
      <c r="AD46" s="519"/>
      <c r="AE46" s="520"/>
      <c r="AF46" s="521"/>
      <c r="AG46" s="583"/>
      <c r="AH46" s="584"/>
      <c r="AI46" s="585"/>
      <c r="AJ46" s="526"/>
      <c r="AK46" s="508"/>
      <c r="AL46" s="737"/>
      <c r="AM46" s="738"/>
      <c r="AN46" s="508"/>
      <c r="AO46" s="743"/>
      <c r="AP46" s="744"/>
      <c r="AQ46" s="508"/>
      <c r="AR46" s="503"/>
      <c r="AS46" s="504"/>
    </row>
    <row r="47" spans="1:45" ht="30" customHeight="1">
      <c r="A47" s="499"/>
      <c r="B47" s="583"/>
      <c r="C47" s="584"/>
      <c r="D47" s="584"/>
      <c r="E47" s="585"/>
      <c r="F47" s="583"/>
      <c r="G47" s="584"/>
      <c r="H47" s="585"/>
      <c r="I47" s="499"/>
      <c r="J47" s="519"/>
      <c r="K47" s="520"/>
      <c r="L47" s="521"/>
      <c r="M47" s="583"/>
      <c r="N47" s="584"/>
      <c r="O47" s="585"/>
      <c r="P47" s="526"/>
      <c r="Q47" s="613"/>
      <c r="R47" s="608"/>
      <c r="S47" s="609"/>
      <c r="T47" s="613"/>
      <c r="U47" s="591"/>
      <c r="V47" s="592"/>
      <c r="W47" s="613"/>
      <c r="X47" s="597"/>
      <c r="Y47" s="598"/>
      <c r="Z47" s="583"/>
      <c r="AA47" s="584"/>
      <c r="AB47" s="585"/>
      <c r="AC47" s="499"/>
      <c r="AD47" s="519"/>
      <c r="AE47" s="520"/>
      <c r="AF47" s="521"/>
      <c r="AG47" s="583"/>
      <c r="AH47" s="584"/>
      <c r="AI47" s="585"/>
      <c r="AJ47" s="526"/>
      <c r="AK47" s="508"/>
      <c r="AL47" s="737"/>
      <c r="AM47" s="738"/>
      <c r="AN47" s="508"/>
      <c r="AO47" s="743"/>
      <c r="AP47" s="744"/>
      <c r="AQ47" s="508"/>
      <c r="AR47" s="503"/>
      <c r="AS47" s="504"/>
    </row>
    <row r="48" spans="1:45" ht="30" customHeight="1">
      <c r="A48" s="499"/>
      <c r="B48" s="583"/>
      <c r="C48" s="584"/>
      <c r="D48" s="584"/>
      <c r="E48" s="585"/>
      <c r="F48" s="583"/>
      <c r="G48" s="584"/>
      <c r="H48" s="585"/>
      <c r="I48" s="499"/>
      <c r="J48" s="519"/>
      <c r="K48" s="520"/>
      <c r="L48" s="521"/>
      <c r="M48" s="583"/>
      <c r="N48" s="584"/>
      <c r="O48" s="585"/>
      <c r="P48" s="526"/>
      <c r="Q48" s="613"/>
      <c r="R48" s="608"/>
      <c r="S48" s="609"/>
      <c r="T48" s="613"/>
      <c r="U48" s="591"/>
      <c r="V48" s="592"/>
      <c r="W48" s="613"/>
      <c r="X48" s="597"/>
      <c r="Y48" s="598"/>
      <c r="Z48" s="583"/>
      <c r="AA48" s="584"/>
      <c r="AB48" s="585"/>
      <c r="AC48" s="499"/>
      <c r="AD48" s="519"/>
      <c r="AE48" s="520"/>
      <c r="AF48" s="521"/>
      <c r="AG48" s="583"/>
      <c r="AH48" s="584"/>
      <c r="AI48" s="585"/>
      <c r="AJ48" s="526"/>
      <c r="AK48" s="508"/>
      <c r="AL48" s="737"/>
      <c r="AM48" s="738"/>
      <c r="AN48" s="508"/>
      <c r="AO48" s="743"/>
      <c r="AP48" s="744"/>
      <c r="AQ48" s="508"/>
      <c r="AR48" s="503"/>
      <c r="AS48" s="504"/>
    </row>
    <row r="49" spans="1:45" ht="109.8" customHeight="1">
      <c r="A49" s="500"/>
      <c r="B49" s="586"/>
      <c r="C49" s="587"/>
      <c r="D49" s="587"/>
      <c r="E49" s="588"/>
      <c r="F49" s="586"/>
      <c r="G49" s="587"/>
      <c r="H49" s="588"/>
      <c r="I49" s="500"/>
      <c r="J49" s="522"/>
      <c r="K49" s="523"/>
      <c r="L49" s="524"/>
      <c r="M49" s="586"/>
      <c r="N49" s="587"/>
      <c r="O49" s="588"/>
      <c r="P49" s="527"/>
      <c r="Q49" s="614"/>
      <c r="R49" s="610"/>
      <c r="S49" s="611"/>
      <c r="T49" s="614"/>
      <c r="U49" s="593"/>
      <c r="V49" s="594"/>
      <c r="W49" s="614"/>
      <c r="X49" s="599"/>
      <c r="Y49" s="600"/>
      <c r="Z49" s="586"/>
      <c r="AA49" s="587"/>
      <c r="AB49" s="588"/>
      <c r="AC49" s="500"/>
      <c r="AD49" s="522"/>
      <c r="AE49" s="523"/>
      <c r="AF49" s="524"/>
      <c r="AG49" s="586"/>
      <c r="AH49" s="587"/>
      <c r="AI49" s="588"/>
      <c r="AJ49" s="527"/>
      <c r="AK49" s="509"/>
      <c r="AL49" s="739"/>
      <c r="AM49" s="740"/>
      <c r="AN49" s="509"/>
      <c r="AO49" s="745"/>
      <c r="AP49" s="746"/>
      <c r="AQ49" s="509"/>
      <c r="AR49" s="505"/>
      <c r="AS49" s="506"/>
    </row>
    <row r="50" spans="1:45" ht="22.05" customHeight="1">
      <c r="A50" s="498" t="s">
        <v>497</v>
      </c>
      <c r="B50" s="580"/>
      <c r="C50" s="581"/>
      <c r="D50" s="581"/>
      <c r="E50" s="582"/>
      <c r="F50" s="580"/>
      <c r="G50" s="581"/>
      <c r="H50" s="582"/>
      <c r="I50" s="747"/>
      <c r="J50" s="580"/>
      <c r="K50" s="581"/>
      <c r="L50" s="582"/>
      <c r="M50" s="580"/>
      <c r="N50" s="581"/>
      <c r="O50" s="582"/>
      <c r="P50" s="525"/>
      <c r="Q50" s="612"/>
      <c r="R50" s="601"/>
      <c r="S50" s="607"/>
      <c r="T50" s="612"/>
      <c r="U50" s="595"/>
      <c r="V50" s="596"/>
      <c r="W50" s="612"/>
      <c r="X50" s="595"/>
      <c r="Y50" s="596"/>
      <c r="Z50" s="580"/>
      <c r="AA50" s="581"/>
      <c r="AB50" s="582"/>
      <c r="AC50" s="747"/>
      <c r="AD50" s="516"/>
      <c r="AE50" s="517"/>
      <c r="AF50" s="518"/>
      <c r="AG50" s="580"/>
      <c r="AH50" s="581"/>
      <c r="AI50" s="582"/>
      <c r="AJ50" s="525"/>
      <c r="AK50" s="507"/>
      <c r="AL50" s="735"/>
      <c r="AM50" s="736"/>
      <c r="AN50" s="507"/>
      <c r="AO50" s="501"/>
      <c r="AP50" s="502"/>
      <c r="AQ50" s="507"/>
      <c r="AR50" s="501"/>
      <c r="AS50" s="502"/>
    </row>
    <row r="51" spans="1:45" ht="22.05" customHeight="1">
      <c r="A51" s="499"/>
      <c r="B51" s="583"/>
      <c r="C51" s="584"/>
      <c r="D51" s="584"/>
      <c r="E51" s="585"/>
      <c r="F51" s="583"/>
      <c r="G51" s="584"/>
      <c r="H51" s="585"/>
      <c r="I51" s="499"/>
      <c r="J51" s="583"/>
      <c r="K51" s="584"/>
      <c r="L51" s="585"/>
      <c r="M51" s="583"/>
      <c r="N51" s="584"/>
      <c r="O51" s="585"/>
      <c r="P51" s="526"/>
      <c r="Q51" s="613"/>
      <c r="R51" s="608"/>
      <c r="S51" s="609"/>
      <c r="T51" s="613"/>
      <c r="U51" s="597"/>
      <c r="V51" s="598"/>
      <c r="W51" s="613"/>
      <c r="X51" s="597"/>
      <c r="Y51" s="598"/>
      <c r="Z51" s="583"/>
      <c r="AA51" s="584"/>
      <c r="AB51" s="585"/>
      <c r="AC51" s="751"/>
      <c r="AD51" s="519"/>
      <c r="AE51" s="520"/>
      <c r="AF51" s="521"/>
      <c r="AG51" s="583"/>
      <c r="AH51" s="584"/>
      <c r="AI51" s="585"/>
      <c r="AJ51" s="526"/>
      <c r="AK51" s="508"/>
      <c r="AL51" s="737"/>
      <c r="AM51" s="738"/>
      <c r="AN51" s="508"/>
      <c r="AO51" s="503"/>
      <c r="AP51" s="504"/>
      <c r="AQ51" s="508"/>
      <c r="AR51" s="503"/>
      <c r="AS51" s="504"/>
    </row>
    <row r="52" spans="1:45" ht="22.05" customHeight="1">
      <c r="A52" s="499"/>
      <c r="B52" s="583"/>
      <c r="C52" s="584"/>
      <c r="D52" s="584"/>
      <c r="E52" s="585"/>
      <c r="F52" s="583"/>
      <c r="G52" s="584"/>
      <c r="H52" s="585"/>
      <c r="I52" s="499"/>
      <c r="J52" s="583"/>
      <c r="K52" s="584"/>
      <c r="L52" s="585"/>
      <c r="M52" s="583"/>
      <c r="N52" s="584"/>
      <c r="O52" s="585"/>
      <c r="P52" s="526"/>
      <c r="Q52" s="613"/>
      <c r="R52" s="608"/>
      <c r="S52" s="609"/>
      <c r="T52" s="613"/>
      <c r="U52" s="597"/>
      <c r="V52" s="598"/>
      <c r="W52" s="613"/>
      <c r="X52" s="597"/>
      <c r="Y52" s="598"/>
      <c r="Z52" s="583"/>
      <c r="AA52" s="584"/>
      <c r="AB52" s="585"/>
      <c r="AC52" s="751"/>
      <c r="AD52" s="519"/>
      <c r="AE52" s="520"/>
      <c r="AF52" s="521"/>
      <c r="AG52" s="583"/>
      <c r="AH52" s="584"/>
      <c r="AI52" s="585"/>
      <c r="AJ52" s="526"/>
      <c r="AK52" s="508"/>
      <c r="AL52" s="737"/>
      <c r="AM52" s="738"/>
      <c r="AN52" s="508"/>
      <c r="AO52" s="503"/>
      <c r="AP52" s="504"/>
      <c r="AQ52" s="508"/>
      <c r="AR52" s="503"/>
      <c r="AS52" s="504"/>
    </row>
    <row r="53" spans="1:45" ht="22.05" customHeight="1">
      <c r="A53" s="499"/>
      <c r="B53" s="583"/>
      <c r="C53" s="584"/>
      <c r="D53" s="584"/>
      <c r="E53" s="585"/>
      <c r="F53" s="583"/>
      <c r="G53" s="584"/>
      <c r="H53" s="585"/>
      <c r="I53" s="499"/>
      <c r="J53" s="583"/>
      <c r="K53" s="584"/>
      <c r="L53" s="585"/>
      <c r="M53" s="583"/>
      <c r="N53" s="584"/>
      <c r="O53" s="585"/>
      <c r="P53" s="526"/>
      <c r="Q53" s="613"/>
      <c r="R53" s="608"/>
      <c r="S53" s="609"/>
      <c r="T53" s="613"/>
      <c r="U53" s="597"/>
      <c r="V53" s="598"/>
      <c r="W53" s="613"/>
      <c r="X53" s="597"/>
      <c r="Y53" s="598"/>
      <c r="Z53" s="583"/>
      <c r="AA53" s="584"/>
      <c r="AB53" s="585"/>
      <c r="AC53" s="751"/>
      <c r="AD53" s="519"/>
      <c r="AE53" s="520"/>
      <c r="AF53" s="521"/>
      <c r="AG53" s="583"/>
      <c r="AH53" s="584"/>
      <c r="AI53" s="585"/>
      <c r="AJ53" s="526"/>
      <c r="AK53" s="508"/>
      <c r="AL53" s="737"/>
      <c r="AM53" s="738"/>
      <c r="AN53" s="508"/>
      <c r="AO53" s="503"/>
      <c r="AP53" s="504"/>
      <c r="AQ53" s="508"/>
      <c r="AR53" s="503"/>
      <c r="AS53" s="504"/>
    </row>
    <row r="54" spans="1:45" ht="22.05" customHeight="1">
      <c r="A54" s="499"/>
      <c r="B54" s="583"/>
      <c r="C54" s="584"/>
      <c r="D54" s="584"/>
      <c r="E54" s="585"/>
      <c r="F54" s="583"/>
      <c r="G54" s="584"/>
      <c r="H54" s="585"/>
      <c r="I54" s="499"/>
      <c r="J54" s="583"/>
      <c r="K54" s="584"/>
      <c r="L54" s="585"/>
      <c r="M54" s="583"/>
      <c r="N54" s="584"/>
      <c r="O54" s="585"/>
      <c r="P54" s="526"/>
      <c r="Q54" s="613"/>
      <c r="R54" s="608"/>
      <c r="S54" s="609"/>
      <c r="T54" s="613"/>
      <c r="U54" s="597"/>
      <c r="V54" s="598"/>
      <c r="W54" s="613"/>
      <c r="X54" s="597"/>
      <c r="Y54" s="598"/>
      <c r="Z54" s="583"/>
      <c r="AA54" s="584"/>
      <c r="AB54" s="585"/>
      <c r="AC54" s="751"/>
      <c r="AD54" s="519"/>
      <c r="AE54" s="520"/>
      <c r="AF54" s="521"/>
      <c r="AG54" s="583"/>
      <c r="AH54" s="584"/>
      <c r="AI54" s="585"/>
      <c r="AJ54" s="526"/>
      <c r="AK54" s="508"/>
      <c r="AL54" s="737"/>
      <c r="AM54" s="738"/>
      <c r="AN54" s="508"/>
      <c r="AO54" s="503"/>
      <c r="AP54" s="504"/>
      <c r="AQ54" s="508"/>
      <c r="AR54" s="503"/>
      <c r="AS54" s="504"/>
    </row>
    <row r="55" spans="1:45" ht="64.8" customHeight="1">
      <c r="A55" s="500"/>
      <c r="B55" s="586"/>
      <c r="C55" s="587"/>
      <c r="D55" s="587"/>
      <c r="E55" s="588"/>
      <c r="F55" s="586"/>
      <c r="G55" s="587"/>
      <c r="H55" s="588"/>
      <c r="I55" s="500"/>
      <c r="J55" s="586"/>
      <c r="K55" s="587"/>
      <c r="L55" s="588"/>
      <c r="M55" s="586"/>
      <c r="N55" s="587"/>
      <c r="O55" s="588"/>
      <c r="P55" s="527"/>
      <c r="Q55" s="614"/>
      <c r="R55" s="610"/>
      <c r="S55" s="611"/>
      <c r="T55" s="614"/>
      <c r="U55" s="599"/>
      <c r="V55" s="600"/>
      <c r="W55" s="614"/>
      <c r="X55" s="599"/>
      <c r="Y55" s="600"/>
      <c r="Z55" s="586"/>
      <c r="AA55" s="587"/>
      <c r="AB55" s="588"/>
      <c r="AC55" s="752"/>
      <c r="AD55" s="522"/>
      <c r="AE55" s="523"/>
      <c r="AF55" s="524"/>
      <c r="AG55" s="586"/>
      <c r="AH55" s="587"/>
      <c r="AI55" s="588"/>
      <c r="AJ55" s="527"/>
      <c r="AK55" s="509"/>
      <c r="AL55" s="739"/>
      <c r="AM55" s="740"/>
      <c r="AN55" s="509"/>
      <c r="AO55" s="505"/>
      <c r="AP55" s="506"/>
      <c r="AQ55" s="509"/>
      <c r="AR55" s="505"/>
      <c r="AS55" s="506"/>
    </row>
    <row r="56" spans="1:45" ht="22.05" customHeight="1">
      <c r="A56" s="498" t="s">
        <v>498</v>
      </c>
      <c r="B56" s="580"/>
      <c r="C56" s="581"/>
      <c r="D56" s="581"/>
      <c r="E56" s="582"/>
      <c r="F56" s="580"/>
      <c r="G56" s="581"/>
      <c r="H56" s="582"/>
      <c r="I56" s="498"/>
      <c r="J56" s="516"/>
      <c r="K56" s="517"/>
      <c r="L56" s="518"/>
      <c r="M56" s="580"/>
      <c r="N56" s="581"/>
      <c r="O56" s="582"/>
      <c r="P56" s="525"/>
      <c r="Q56" s="612"/>
      <c r="R56" s="601"/>
      <c r="S56" s="607"/>
      <c r="T56" s="612"/>
      <c r="U56" s="595"/>
      <c r="V56" s="596"/>
      <c r="W56" s="612"/>
      <c r="X56" s="595"/>
      <c r="Y56" s="596"/>
      <c r="Z56" s="580"/>
      <c r="AA56" s="581"/>
      <c r="AB56" s="582"/>
      <c r="AC56" s="498"/>
      <c r="AD56" s="516"/>
      <c r="AE56" s="517"/>
      <c r="AF56" s="518"/>
      <c r="AG56" s="580"/>
      <c r="AH56" s="581"/>
      <c r="AI56" s="582"/>
      <c r="AJ56" s="525"/>
      <c r="AK56" s="507"/>
      <c r="AL56" s="735"/>
      <c r="AM56" s="736"/>
      <c r="AN56" s="507"/>
      <c r="AO56" s="501"/>
      <c r="AP56" s="502"/>
      <c r="AQ56" s="507"/>
      <c r="AR56" s="501"/>
      <c r="AS56" s="502"/>
    </row>
    <row r="57" spans="1:45" ht="22.05" customHeight="1">
      <c r="A57" s="499"/>
      <c r="B57" s="583"/>
      <c r="C57" s="584"/>
      <c r="D57" s="584"/>
      <c r="E57" s="585"/>
      <c r="F57" s="583"/>
      <c r="G57" s="584"/>
      <c r="H57" s="585"/>
      <c r="I57" s="499"/>
      <c r="J57" s="519"/>
      <c r="K57" s="520"/>
      <c r="L57" s="521"/>
      <c r="M57" s="583"/>
      <c r="N57" s="584"/>
      <c r="O57" s="585"/>
      <c r="P57" s="499"/>
      <c r="Q57" s="613"/>
      <c r="R57" s="608"/>
      <c r="S57" s="609"/>
      <c r="T57" s="613"/>
      <c r="U57" s="597"/>
      <c r="V57" s="598"/>
      <c r="W57" s="613"/>
      <c r="X57" s="597"/>
      <c r="Y57" s="598"/>
      <c r="Z57" s="583"/>
      <c r="AA57" s="584"/>
      <c r="AB57" s="585"/>
      <c r="AC57" s="499"/>
      <c r="AD57" s="519"/>
      <c r="AE57" s="520"/>
      <c r="AF57" s="521"/>
      <c r="AG57" s="583"/>
      <c r="AH57" s="584"/>
      <c r="AI57" s="585"/>
      <c r="AJ57" s="526"/>
      <c r="AK57" s="508"/>
      <c r="AL57" s="737"/>
      <c r="AM57" s="738"/>
      <c r="AN57" s="508"/>
      <c r="AO57" s="503"/>
      <c r="AP57" s="504"/>
      <c r="AQ57" s="508"/>
      <c r="AR57" s="503"/>
      <c r="AS57" s="504"/>
    </row>
    <row r="58" spans="1:45" ht="22.05" customHeight="1">
      <c r="A58" s="499"/>
      <c r="B58" s="583"/>
      <c r="C58" s="584"/>
      <c r="D58" s="584"/>
      <c r="E58" s="585"/>
      <c r="F58" s="583"/>
      <c r="G58" s="584"/>
      <c r="H58" s="585"/>
      <c r="I58" s="499"/>
      <c r="J58" s="519"/>
      <c r="K58" s="520"/>
      <c r="L58" s="521"/>
      <c r="M58" s="583"/>
      <c r="N58" s="584"/>
      <c r="O58" s="585"/>
      <c r="P58" s="499"/>
      <c r="Q58" s="613"/>
      <c r="R58" s="608"/>
      <c r="S58" s="609"/>
      <c r="T58" s="613"/>
      <c r="U58" s="597"/>
      <c r="V58" s="598"/>
      <c r="W58" s="613"/>
      <c r="X58" s="597"/>
      <c r="Y58" s="598"/>
      <c r="Z58" s="583"/>
      <c r="AA58" s="584"/>
      <c r="AB58" s="585"/>
      <c r="AC58" s="499"/>
      <c r="AD58" s="519"/>
      <c r="AE58" s="520"/>
      <c r="AF58" s="521"/>
      <c r="AG58" s="583"/>
      <c r="AH58" s="584"/>
      <c r="AI58" s="585"/>
      <c r="AJ58" s="526"/>
      <c r="AK58" s="508"/>
      <c r="AL58" s="737"/>
      <c r="AM58" s="738"/>
      <c r="AN58" s="508"/>
      <c r="AO58" s="503"/>
      <c r="AP58" s="504"/>
      <c r="AQ58" s="508"/>
      <c r="AR58" s="503"/>
      <c r="AS58" s="504"/>
    </row>
    <row r="59" spans="1:45" ht="22.05" customHeight="1">
      <c r="A59" s="499"/>
      <c r="B59" s="583"/>
      <c r="C59" s="584"/>
      <c r="D59" s="584"/>
      <c r="E59" s="585"/>
      <c r="F59" s="583"/>
      <c r="G59" s="584"/>
      <c r="H59" s="585"/>
      <c r="I59" s="499"/>
      <c r="J59" s="519"/>
      <c r="K59" s="520"/>
      <c r="L59" s="521"/>
      <c r="M59" s="583"/>
      <c r="N59" s="584"/>
      <c r="O59" s="585"/>
      <c r="P59" s="499"/>
      <c r="Q59" s="613"/>
      <c r="R59" s="608"/>
      <c r="S59" s="609"/>
      <c r="T59" s="613"/>
      <c r="U59" s="597"/>
      <c r="V59" s="598"/>
      <c r="W59" s="613"/>
      <c r="X59" s="597"/>
      <c r="Y59" s="598"/>
      <c r="Z59" s="583"/>
      <c r="AA59" s="584"/>
      <c r="AB59" s="585"/>
      <c r="AC59" s="499"/>
      <c r="AD59" s="519"/>
      <c r="AE59" s="520"/>
      <c r="AF59" s="521"/>
      <c r="AG59" s="583"/>
      <c r="AH59" s="584"/>
      <c r="AI59" s="585"/>
      <c r="AJ59" s="526"/>
      <c r="AK59" s="508"/>
      <c r="AL59" s="737"/>
      <c r="AM59" s="738"/>
      <c r="AN59" s="508"/>
      <c r="AO59" s="503"/>
      <c r="AP59" s="504"/>
      <c r="AQ59" s="508"/>
      <c r="AR59" s="503"/>
      <c r="AS59" s="504"/>
    </row>
    <row r="60" spans="1:45" ht="22.05" customHeight="1">
      <c r="A60" s="499"/>
      <c r="B60" s="583"/>
      <c r="C60" s="584"/>
      <c r="D60" s="584"/>
      <c r="E60" s="585"/>
      <c r="F60" s="583"/>
      <c r="G60" s="584"/>
      <c r="H60" s="585"/>
      <c r="I60" s="499"/>
      <c r="J60" s="519"/>
      <c r="K60" s="520"/>
      <c r="L60" s="521"/>
      <c r="M60" s="583"/>
      <c r="N60" s="584"/>
      <c r="O60" s="585"/>
      <c r="P60" s="499"/>
      <c r="Q60" s="613"/>
      <c r="R60" s="608"/>
      <c r="S60" s="609"/>
      <c r="T60" s="613"/>
      <c r="U60" s="597"/>
      <c r="V60" s="598"/>
      <c r="W60" s="613"/>
      <c r="X60" s="597"/>
      <c r="Y60" s="598"/>
      <c r="Z60" s="583"/>
      <c r="AA60" s="584"/>
      <c r="AB60" s="585"/>
      <c r="AC60" s="499"/>
      <c r="AD60" s="519"/>
      <c r="AE60" s="520"/>
      <c r="AF60" s="521"/>
      <c r="AG60" s="583"/>
      <c r="AH60" s="584"/>
      <c r="AI60" s="585"/>
      <c r="AJ60" s="526"/>
      <c r="AK60" s="508"/>
      <c r="AL60" s="737"/>
      <c r="AM60" s="738"/>
      <c r="AN60" s="508"/>
      <c r="AO60" s="503"/>
      <c r="AP60" s="504"/>
      <c r="AQ60" s="508"/>
      <c r="AR60" s="503"/>
      <c r="AS60" s="504"/>
    </row>
    <row r="61" spans="1:45" ht="67.95" customHeight="1">
      <c r="A61" s="500"/>
      <c r="B61" s="586"/>
      <c r="C61" s="587"/>
      <c r="D61" s="587"/>
      <c r="E61" s="588"/>
      <c r="F61" s="586"/>
      <c r="G61" s="587"/>
      <c r="H61" s="588"/>
      <c r="I61" s="500"/>
      <c r="J61" s="522"/>
      <c r="K61" s="523"/>
      <c r="L61" s="524"/>
      <c r="M61" s="586"/>
      <c r="N61" s="587"/>
      <c r="O61" s="588"/>
      <c r="P61" s="500"/>
      <c r="Q61" s="614"/>
      <c r="R61" s="610"/>
      <c r="S61" s="611"/>
      <c r="T61" s="614"/>
      <c r="U61" s="599"/>
      <c r="V61" s="600"/>
      <c r="W61" s="614"/>
      <c r="X61" s="599"/>
      <c r="Y61" s="600"/>
      <c r="Z61" s="586"/>
      <c r="AA61" s="587"/>
      <c r="AB61" s="588"/>
      <c r="AC61" s="500"/>
      <c r="AD61" s="522"/>
      <c r="AE61" s="523"/>
      <c r="AF61" s="524"/>
      <c r="AG61" s="586"/>
      <c r="AH61" s="587"/>
      <c r="AI61" s="588"/>
      <c r="AJ61" s="527"/>
      <c r="AK61" s="509"/>
      <c r="AL61" s="739"/>
      <c r="AM61" s="740"/>
      <c r="AN61" s="509"/>
      <c r="AO61" s="505"/>
      <c r="AP61" s="506"/>
      <c r="AQ61" s="509"/>
      <c r="AR61" s="505"/>
      <c r="AS61" s="506"/>
    </row>
    <row r="62" spans="1:45" ht="22.05" customHeight="1">
      <c r="A62" s="498" t="s">
        <v>631</v>
      </c>
      <c r="B62" s="580"/>
      <c r="C62" s="581"/>
      <c r="D62" s="581"/>
      <c r="E62" s="582"/>
      <c r="F62" s="580"/>
      <c r="G62" s="581"/>
      <c r="H62" s="582"/>
      <c r="I62" s="498"/>
      <c r="J62" s="516"/>
      <c r="K62" s="517"/>
      <c r="L62" s="518"/>
      <c r="M62" s="580"/>
      <c r="N62" s="581"/>
      <c r="O62" s="582"/>
      <c r="P62" s="525"/>
      <c r="Q62" s="612"/>
      <c r="R62" s="601"/>
      <c r="S62" s="602"/>
      <c r="T62" s="612"/>
      <c r="U62" s="595"/>
      <c r="V62" s="596"/>
      <c r="W62" s="612"/>
      <c r="X62" s="595"/>
      <c r="Y62" s="596"/>
      <c r="Z62" s="580"/>
      <c r="AA62" s="581"/>
      <c r="AB62" s="582"/>
      <c r="AC62" s="498"/>
      <c r="AD62" s="516"/>
      <c r="AE62" s="517"/>
      <c r="AF62" s="518"/>
      <c r="AG62" s="580"/>
      <c r="AH62" s="581"/>
      <c r="AI62" s="582"/>
      <c r="AJ62" s="525"/>
      <c r="AK62" s="507"/>
      <c r="AL62" s="735"/>
      <c r="AM62" s="736"/>
      <c r="AN62" s="507"/>
      <c r="AO62" s="501"/>
      <c r="AP62" s="502"/>
      <c r="AQ62" s="507"/>
      <c r="AR62" s="501"/>
      <c r="AS62" s="502"/>
    </row>
    <row r="63" spans="1:45" ht="22.05" customHeight="1">
      <c r="A63" s="499"/>
      <c r="B63" s="583"/>
      <c r="C63" s="584"/>
      <c r="D63" s="584"/>
      <c r="E63" s="585"/>
      <c r="F63" s="583"/>
      <c r="G63" s="584"/>
      <c r="H63" s="585"/>
      <c r="I63" s="499"/>
      <c r="J63" s="519"/>
      <c r="K63" s="520"/>
      <c r="L63" s="521"/>
      <c r="M63" s="583"/>
      <c r="N63" s="584"/>
      <c r="O63" s="585"/>
      <c r="P63" s="526"/>
      <c r="Q63" s="613"/>
      <c r="R63" s="603"/>
      <c r="S63" s="604"/>
      <c r="T63" s="613"/>
      <c r="U63" s="597"/>
      <c r="V63" s="598"/>
      <c r="W63" s="613"/>
      <c r="X63" s="597"/>
      <c r="Y63" s="598"/>
      <c r="Z63" s="583"/>
      <c r="AA63" s="584"/>
      <c r="AB63" s="585"/>
      <c r="AC63" s="499"/>
      <c r="AD63" s="519"/>
      <c r="AE63" s="520"/>
      <c r="AF63" s="521"/>
      <c r="AG63" s="583"/>
      <c r="AH63" s="584"/>
      <c r="AI63" s="585"/>
      <c r="AJ63" s="526"/>
      <c r="AK63" s="508"/>
      <c r="AL63" s="737"/>
      <c r="AM63" s="738"/>
      <c r="AN63" s="508"/>
      <c r="AO63" s="503"/>
      <c r="AP63" s="504"/>
      <c r="AQ63" s="508"/>
      <c r="AR63" s="503"/>
      <c r="AS63" s="504"/>
    </row>
    <row r="64" spans="1:45" ht="22.05" customHeight="1">
      <c r="A64" s="499"/>
      <c r="B64" s="583"/>
      <c r="C64" s="584"/>
      <c r="D64" s="584"/>
      <c r="E64" s="585"/>
      <c r="F64" s="583"/>
      <c r="G64" s="584"/>
      <c r="H64" s="585"/>
      <c r="I64" s="499"/>
      <c r="J64" s="519"/>
      <c r="K64" s="520"/>
      <c r="L64" s="521"/>
      <c r="M64" s="583"/>
      <c r="N64" s="584"/>
      <c r="O64" s="585"/>
      <c r="P64" s="526"/>
      <c r="Q64" s="613"/>
      <c r="R64" s="603"/>
      <c r="S64" s="604"/>
      <c r="T64" s="613"/>
      <c r="U64" s="597"/>
      <c r="V64" s="598"/>
      <c r="W64" s="613"/>
      <c r="X64" s="597"/>
      <c r="Y64" s="598"/>
      <c r="Z64" s="583"/>
      <c r="AA64" s="584"/>
      <c r="AB64" s="585"/>
      <c r="AC64" s="499"/>
      <c r="AD64" s="519"/>
      <c r="AE64" s="520"/>
      <c r="AF64" s="521"/>
      <c r="AG64" s="583"/>
      <c r="AH64" s="584"/>
      <c r="AI64" s="585"/>
      <c r="AJ64" s="526"/>
      <c r="AK64" s="508"/>
      <c r="AL64" s="737"/>
      <c r="AM64" s="738"/>
      <c r="AN64" s="508"/>
      <c r="AO64" s="503"/>
      <c r="AP64" s="504"/>
      <c r="AQ64" s="508"/>
      <c r="AR64" s="503"/>
      <c r="AS64" s="504"/>
    </row>
    <row r="65" spans="1:61" ht="22.05" customHeight="1">
      <c r="A65" s="499"/>
      <c r="B65" s="583"/>
      <c r="C65" s="584"/>
      <c r="D65" s="584"/>
      <c r="E65" s="585"/>
      <c r="F65" s="583"/>
      <c r="G65" s="584"/>
      <c r="H65" s="585"/>
      <c r="I65" s="499"/>
      <c r="J65" s="519"/>
      <c r="K65" s="520"/>
      <c r="L65" s="521"/>
      <c r="M65" s="583"/>
      <c r="N65" s="584"/>
      <c r="O65" s="585"/>
      <c r="P65" s="526"/>
      <c r="Q65" s="613"/>
      <c r="R65" s="603"/>
      <c r="S65" s="604"/>
      <c r="T65" s="613"/>
      <c r="U65" s="597"/>
      <c r="V65" s="598"/>
      <c r="W65" s="613"/>
      <c r="X65" s="597"/>
      <c r="Y65" s="598"/>
      <c r="Z65" s="583"/>
      <c r="AA65" s="584"/>
      <c r="AB65" s="585"/>
      <c r="AC65" s="499"/>
      <c r="AD65" s="519"/>
      <c r="AE65" s="520"/>
      <c r="AF65" s="521"/>
      <c r="AG65" s="583"/>
      <c r="AH65" s="584"/>
      <c r="AI65" s="585"/>
      <c r="AJ65" s="526"/>
      <c r="AK65" s="508"/>
      <c r="AL65" s="737"/>
      <c r="AM65" s="738"/>
      <c r="AN65" s="508"/>
      <c r="AO65" s="503"/>
      <c r="AP65" s="504"/>
      <c r="AQ65" s="508"/>
      <c r="AR65" s="503"/>
      <c r="AS65" s="504"/>
    </row>
    <row r="66" spans="1:61" ht="22.05" customHeight="1">
      <c r="A66" s="499"/>
      <c r="B66" s="583"/>
      <c r="C66" s="584"/>
      <c r="D66" s="584"/>
      <c r="E66" s="585"/>
      <c r="F66" s="583"/>
      <c r="G66" s="584"/>
      <c r="H66" s="585"/>
      <c r="I66" s="499"/>
      <c r="J66" s="519"/>
      <c r="K66" s="520"/>
      <c r="L66" s="521"/>
      <c r="M66" s="583"/>
      <c r="N66" s="584"/>
      <c r="O66" s="585"/>
      <c r="P66" s="526"/>
      <c r="Q66" s="613"/>
      <c r="R66" s="603"/>
      <c r="S66" s="604"/>
      <c r="T66" s="613"/>
      <c r="U66" s="597"/>
      <c r="V66" s="598"/>
      <c r="W66" s="613"/>
      <c r="X66" s="597"/>
      <c r="Y66" s="598"/>
      <c r="Z66" s="583"/>
      <c r="AA66" s="584"/>
      <c r="AB66" s="585"/>
      <c r="AC66" s="499"/>
      <c r="AD66" s="519"/>
      <c r="AE66" s="520"/>
      <c r="AF66" s="521"/>
      <c r="AG66" s="583"/>
      <c r="AH66" s="584"/>
      <c r="AI66" s="585"/>
      <c r="AJ66" s="526"/>
      <c r="AK66" s="508"/>
      <c r="AL66" s="737"/>
      <c r="AM66" s="738"/>
      <c r="AN66" s="508"/>
      <c r="AO66" s="503"/>
      <c r="AP66" s="504"/>
      <c r="AQ66" s="508"/>
      <c r="AR66" s="503"/>
      <c r="AS66" s="504"/>
    </row>
    <row r="67" spans="1:61" ht="67.95" customHeight="1">
      <c r="A67" s="500"/>
      <c r="B67" s="586"/>
      <c r="C67" s="587"/>
      <c r="D67" s="587"/>
      <c r="E67" s="588"/>
      <c r="F67" s="586"/>
      <c r="G67" s="587"/>
      <c r="H67" s="588"/>
      <c r="I67" s="500"/>
      <c r="J67" s="522"/>
      <c r="K67" s="523"/>
      <c r="L67" s="524"/>
      <c r="M67" s="586"/>
      <c r="N67" s="587"/>
      <c r="O67" s="588"/>
      <c r="P67" s="527"/>
      <c r="Q67" s="614"/>
      <c r="R67" s="605"/>
      <c r="S67" s="606"/>
      <c r="T67" s="614"/>
      <c r="U67" s="599"/>
      <c r="V67" s="600"/>
      <c r="W67" s="614"/>
      <c r="X67" s="599"/>
      <c r="Y67" s="600"/>
      <c r="Z67" s="586"/>
      <c r="AA67" s="587"/>
      <c r="AB67" s="588"/>
      <c r="AC67" s="500"/>
      <c r="AD67" s="522"/>
      <c r="AE67" s="523"/>
      <c r="AF67" s="524"/>
      <c r="AG67" s="586"/>
      <c r="AH67" s="587"/>
      <c r="AI67" s="588"/>
      <c r="AJ67" s="527"/>
      <c r="AK67" s="509"/>
      <c r="AL67" s="739"/>
      <c r="AM67" s="740"/>
      <c r="AN67" s="509"/>
      <c r="AO67" s="505"/>
      <c r="AP67" s="506"/>
      <c r="AQ67" s="509"/>
      <c r="AR67" s="505"/>
      <c r="AS67" s="506"/>
    </row>
    <row r="68" spans="1:61" ht="22.05" customHeight="1">
      <c r="A68" s="498" t="s">
        <v>632</v>
      </c>
      <c r="B68" s="580"/>
      <c r="C68" s="581"/>
      <c r="D68" s="581"/>
      <c r="E68" s="582"/>
      <c r="F68" s="580"/>
      <c r="G68" s="581"/>
      <c r="H68" s="582"/>
      <c r="I68" s="498"/>
      <c r="J68" s="516"/>
      <c r="K68" s="517"/>
      <c r="L68" s="518"/>
      <c r="M68" s="580"/>
      <c r="N68" s="581"/>
      <c r="O68" s="582"/>
      <c r="P68" s="525"/>
      <c r="Q68" s="612"/>
      <c r="R68" s="601"/>
      <c r="S68" s="607"/>
      <c r="T68" s="612"/>
      <c r="U68" s="595"/>
      <c r="V68" s="596"/>
      <c r="W68" s="612"/>
      <c r="X68" s="595"/>
      <c r="Y68" s="596"/>
      <c r="Z68" s="580"/>
      <c r="AA68" s="581"/>
      <c r="AB68" s="582"/>
      <c r="AC68" s="747"/>
      <c r="AD68" s="516"/>
      <c r="AE68" s="517"/>
      <c r="AF68" s="518"/>
      <c r="AG68" s="580"/>
      <c r="AH68" s="581"/>
      <c r="AI68" s="582"/>
      <c r="AJ68" s="525"/>
      <c r="AK68" s="507"/>
      <c r="AL68" s="735"/>
      <c r="AM68" s="736"/>
      <c r="AN68" s="507"/>
      <c r="AO68" s="501"/>
      <c r="AP68" s="502"/>
      <c r="AQ68" s="507"/>
      <c r="AR68" s="501"/>
      <c r="AS68" s="502"/>
    </row>
    <row r="69" spans="1:61" ht="22.05" customHeight="1">
      <c r="A69" s="499"/>
      <c r="B69" s="583"/>
      <c r="C69" s="584"/>
      <c r="D69" s="584"/>
      <c r="E69" s="585"/>
      <c r="F69" s="583"/>
      <c r="G69" s="584"/>
      <c r="H69" s="585"/>
      <c r="I69" s="499"/>
      <c r="J69" s="519"/>
      <c r="K69" s="520"/>
      <c r="L69" s="521"/>
      <c r="M69" s="583"/>
      <c r="N69" s="584"/>
      <c r="O69" s="585"/>
      <c r="P69" s="499"/>
      <c r="Q69" s="613"/>
      <c r="R69" s="608"/>
      <c r="S69" s="609"/>
      <c r="T69" s="613"/>
      <c r="U69" s="597"/>
      <c r="V69" s="598"/>
      <c r="W69" s="613"/>
      <c r="X69" s="597"/>
      <c r="Y69" s="598"/>
      <c r="Z69" s="583"/>
      <c r="AA69" s="584"/>
      <c r="AB69" s="585"/>
      <c r="AC69" s="751"/>
      <c r="AD69" s="519"/>
      <c r="AE69" s="520"/>
      <c r="AF69" s="521"/>
      <c r="AG69" s="583"/>
      <c r="AH69" s="584"/>
      <c r="AI69" s="585"/>
      <c r="AJ69" s="526"/>
      <c r="AK69" s="508"/>
      <c r="AL69" s="737"/>
      <c r="AM69" s="738"/>
      <c r="AN69" s="508"/>
      <c r="AO69" s="503"/>
      <c r="AP69" s="504"/>
      <c r="AQ69" s="508"/>
      <c r="AR69" s="503"/>
      <c r="AS69" s="504"/>
    </row>
    <row r="70" spans="1:61" ht="22.05" customHeight="1">
      <c r="A70" s="499"/>
      <c r="B70" s="583"/>
      <c r="C70" s="584"/>
      <c r="D70" s="584"/>
      <c r="E70" s="585"/>
      <c r="F70" s="583"/>
      <c r="G70" s="584"/>
      <c r="H70" s="585"/>
      <c r="I70" s="499"/>
      <c r="J70" s="519"/>
      <c r="K70" s="520"/>
      <c r="L70" s="521"/>
      <c r="M70" s="583"/>
      <c r="N70" s="584"/>
      <c r="O70" s="585"/>
      <c r="P70" s="499"/>
      <c r="Q70" s="613"/>
      <c r="R70" s="608"/>
      <c r="S70" s="609"/>
      <c r="T70" s="613"/>
      <c r="U70" s="597"/>
      <c r="V70" s="598"/>
      <c r="W70" s="613"/>
      <c r="X70" s="597"/>
      <c r="Y70" s="598"/>
      <c r="Z70" s="583"/>
      <c r="AA70" s="584"/>
      <c r="AB70" s="585"/>
      <c r="AC70" s="751"/>
      <c r="AD70" s="519"/>
      <c r="AE70" s="520"/>
      <c r="AF70" s="521"/>
      <c r="AG70" s="583"/>
      <c r="AH70" s="584"/>
      <c r="AI70" s="585"/>
      <c r="AJ70" s="526"/>
      <c r="AK70" s="508"/>
      <c r="AL70" s="737"/>
      <c r="AM70" s="738"/>
      <c r="AN70" s="508"/>
      <c r="AO70" s="503"/>
      <c r="AP70" s="504"/>
      <c r="AQ70" s="508"/>
      <c r="AR70" s="503"/>
      <c r="AS70" s="504"/>
    </row>
    <row r="71" spans="1:61" ht="22.05" customHeight="1">
      <c r="A71" s="499"/>
      <c r="B71" s="583"/>
      <c r="C71" s="584"/>
      <c r="D71" s="584"/>
      <c r="E71" s="585"/>
      <c r="F71" s="583"/>
      <c r="G71" s="584"/>
      <c r="H71" s="585"/>
      <c r="I71" s="499"/>
      <c r="J71" s="519"/>
      <c r="K71" s="520"/>
      <c r="L71" s="521"/>
      <c r="M71" s="583"/>
      <c r="N71" s="584"/>
      <c r="O71" s="585"/>
      <c r="P71" s="499"/>
      <c r="Q71" s="613"/>
      <c r="R71" s="608"/>
      <c r="S71" s="609"/>
      <c r="T71" s="613"/>
      <c r="U71" s="597"/>
      <c r="V71" s="598"/>
      <c r="W71" s="613"/>
      <c r="X71" s="597"/>
      <c r="Y71" s="598"/>
      <c r="Z71" s="583"/>
      <c r="AA71" s="584"/>
      <c r="AB71" s="585"/>
      <c r="AC71" s="751"/>
      <c r="AD71" s="519"/>
      <c r="AE71" s="520"/>
      <c r="AF71" s="521"/>
      <c r="AG71" s="583"/>
      <c r="AH71" s="584"/>
      <c r="AI71" s="585"/>
      <c r="AJ71" s="526"/>
      <c r="AK71" s="508"/>
      <c r="AL71" s="737"/>
      <c r="AM71" s="738"/>
      <c r="AN71" s="508"/>
      <c r="AO71" s="503"/>
      <c r="AP71" s="504"/>
      <c r="AQ71" s="508"/>
      <c r="AR71" s="503"/>
      <c r="AS71" s="504"/>
    </row>
    <row r="72" spans="1:61" ht="22.05" customHeight="1">
      <c r="A72" s="499"/>
      <c r="B72" s="583"/>
      <c r="C72" s="584"/>
      <c r="D72" s="584"/>
      <c r="E72" s="585"/>
      <c r="F72" s="583"/>
      <c r="G72" s="584"/>
      <c r="H72" s="585"/>
      <c r="I72" s="499"/>
      <c r="J72" s="519"/>
      <c r="K72" s="520"/>
      <c r="L72" s="521"/>
      <c r="M72" s="583"/>
      <c r="N72" s="584"/>
      <c r="O72" s="585"/>
      <c r="P72" s="499"/>
      <c r="Q72" s="613"/>
      <c r="R72" s="608"/>
      <c r="S72" s="609"/>
      <c r="T72" s="613"/>
      <c r="U72" s="597"/>
      <c r="V72" s="598"/>
      <c r="W72" s="613"/>
      <c r="X72" s="597"/>
      <c r="Y72" s="598"/>
      <c r="Z72" s="583"/>
      <c r="AA72" s="584"/>
      <c r="AB72" s="585"/>
      <c r="AC72" s="751"/>
      <c r="AD72" s="519"/>
      <c r="AE72" s="520"/>
      <c r="AF72" s="521"/>
      <c r="AG72" s="583"/>
      <c r="AH72" s="584"/>
      <c r="AI72" s="585"/>
      <c r="AJ72" s="526"/>
      <c r="AK72" s="508"/>
      <c r="AL72" s="737"/>
      <c r="AM72" s="738"/>
      <c r="AN72" s="508"/>
      <c r="AO72" s="503"/>
      <c r="AP72" s="504"/>
      <c r="AQ72" s="508"/>
      <c r="AR72" s="503"/>
      <c r="AS72" s="504"/>
    </row>
    <row r="73" spans="1:61" ht="67.95" customHeight="1">
      <c r="A73" s="500"/>
      <c r="B73" s="586"/>
      <c r="C73" s="587"/>
      <c r="D73" s="587"/>
      <c r="E73" s="588"/>
      <c r="F73" s="586"/>
      <c r="G73" s="587"/>
      <c r="H73" s="588"/>
      <c r="I73" s="500"/>
      <c r="J73" s="522"/>
      <c r="K73" s="523"/>
      <c r="L73" s="524"/>
      <c r="M73" s="586"/>
      <c r="N73" s="587"/>
      <c r="O73" s="588"/>
      <c r="P73" s="500"/>
      <c r="Q73" s="614"/>
      <c r="R73" s="610"/>
      <c r="S73" s="611"/>
      <c r="T73" s="614"/>
      <c r="U73" s="599"/>
      <c r="V73" s="600"/>
      <c r="W73" s="614"/>
      <c r="X73" s="599"/>
      <c r="Y73" s="600"/>
      <c r="Z73" s="586"/>
      <c r="AA73" s="587"/>
      <c r="AB73" s="588"/>
      <c r="AC73" s="752"/>
      <c r="AD73" s="522"/>
      <c r="AE73" s="523"/>
      <c r="AF73" s="524"/>
      <c r="AG73" s="586"/>
      <c r="AH73" s="587"/>
      <c r="AI73" s="588"/>
      <c r="AJ73" s="527"/>
      <c r="AK73" s="509"/>
      <c r="AL73" s="739"/>
      <c r="AM73" s="740"/>
      <c r="AN73" s="509"/>
      <c r="AO73" s="505"/>
      <c r="AP73" s="506"/>
      <c r="AQ73" s="509"/>
      <c r="AR73" s="505"/>
      <c r="AS73" s="506"/>
    </row>
    <row r="74" spans="1:61" s="91" customFormat="1" ht="40.049999999999997" customHeight="1">
      <c r="M74" s="92" t="s">
        <v>499</v>
      </c>
      <c r="N74" s="93"/>
      <c r="O74" s="94"/>
      <c r="P74" s="95">
        <f>SUM($P$32:$P$73)</f>
        <v>0</v>
      </c>
      <c r="Q74" s="698">
        <f>($P32*Q32)+($P38*Q38)+($P44*Q44)+($P50*Q50)+($P56*Q56)+($P62*Q62)+($P68*Q68)</f>
        <v>0</v>
      </c>
      <c r="R74" s="699"/>
      <c r="S74" s="700"/>
      <c r="T74" s="698">
        <f>($P32*T32)+($P38*T38)+($P44*T44)+($P50*T50)+($P56*T56)+($P62*T62)+($P68*T68)</f>
        <v>0</v>
      </c>
      <c r="U74" s="699"/>
      <c r="V74" s="700"/>
      <c r="W74" s="698">
        <f>($P32*W32)+($P38*W38)+($P44*W44)+($P50*W50)+($P56*W56)+($P62*W62)+($P68*W68)</f>
        <v>0</v>
      </c>
      <c r="X74" s="699"/>
      <c r="Y74" s="700"/>
      <c r="AE74" s="96"/>
      <c r="AF74" s="97"/>
      <c r="AG74" s="92" t="s">
        <v>499</v>
      </c>
      <c r="AH74" s="93"/>
      <c r="AI74" s="94"/>
      <c r="AJ74" s="95">
        <f>SUM(AJ32:AJ73)</f>
        <v>0</v>
      </c>
      <c r="AK74" s="698">
        <f>($AJ32*AK32)+($AJ38*AK38)+($AJ44*AK44)+($AJ50*AK50)+($AJ56*AK56)+($AJ62*AK62)+($AJ68*AK68)</f>
        <v>0</v>
      </c>
      <c r="AL74" s="699"/>
      <c r="AM74" s="700"/>
      <c r="AN74" s="698">
        <f>($AJ32*AN32)+($AJ38*AN38)+($AJ44*AN44)+($AJ50*AN50)+($AJ56*AN56)+($AJ62*AN62)+($AJ68*AN68)</f>
        <v>0</v>
      </c>
      <c r="AO74" s="699"/>
      <c r="AP74" s="700"/>
      <c r="AQ74" s="698">
        <f>($AJ32*AQ32)+($AJ38*AQ38)+($AJ44*AQ44)+($AJ50*AQ50)+($AJ56*AQ56)+($AJ62*AQ62)+($AJ68*AQ68)</f>
        <v>0</v>
      </c>
      <c r="AR74" s="699"/>
      <c r="AS74" s="700"/>
      <c r="AZ74" s="97"/>
      <c r="BA74" s="97"/>
      <c r="BB74" s="97"/>
      <c r="BC74" s="97"/>
      <c r="BD74" s="97"/>
      <c r="BE74" s="97"/>
      <c r="BF74" s="97"/>
      <c r="BG74" s="97"/>
      <c r="BH74" s="97"/>
      <c r="BI74" s="97"/>
    </row>
    <row r="75" spans="1:61" s="16" customFormat="1" ht="25.5" customHeight="1">
      <c r="AH75" s="4"/>
      <c r="AI75" s="4"/>
      <c r="AJ75" s="4"/>
      <c r="AK75" s="4"/>
      <c r="AL75" s="4"/>
      <c r="AM75" s="4"/>
      <c r="AN75" s="4"/>
      <c r="AO75" s="4"/>
      <c r="AP75" s="4"/>
      <c r="AQ75" s="4"/>
      <c r="AZ75" s="4"/>
      <c r="BA75" s="4"/>
      <c r="BB75" s="4"/>
      <c r="BC75" s="4"/>
      <c r="BD75" s="4"/>
      <c r="BE75" s="4"/>
      <c r="BF75" s="4"/>
      <c r="BG75" s="4"/>
      <c r="BH75" s="4"/>
      <c r="BI75" s="4"/>
    </row>
    <row r="76" spans="1:61" s="16" customFormat="1" ht="25.5" customHeight="1" thickBot="1">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row>
    <row r="77" spans="1:61" s="100" customFormat="1" ht="40.049999999999997" customHeight="1" thickBot="1">
      <c r="A77" s="101" t="s">
        <v>502</v>
      </c>
      <c r="B77" s="102"/>
      <c r="C77" s="102"/>
      <c r="D77" s="102"/>
      <c r="E77" s="102"/>
      <c r="F77" s="102"/>
      <c r="G77" s="102"/>
      <c r="H77" s="103"/>
      <c r="I77" s="103"/>
      <c r="J77" s="147">
        <f>VLOOKUP($AT$1,'Weight &amp; Grade Def.'!$B$7:$M$46,11,0)</f>
        <v>40</v>
      </c>
      <c r="K77" s="102" t="s">
        <v>503</v>
      </c>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4"/>
    </row>
    <row r="78" spans="1:6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row>
    <row r="79" spans="1:61" s="3" customFormat="1" ht="67.95" customHeight="1">
      <c r="A79" s="695" t="s">
        <v>505</v>
      </c>
      <c r="B79" s="709" t="s">
        <v>504</v>
      </c>
      <c r="C79" s="710"/>
      <c r="D79" s="710"/>
      <c r="E79" s="711"/>
      <c r="F79" s="633" t="s">
        <v>500</v>
      </c>
      <c r="G79" s="634"/>
      <c r="H79" s="634"/>
      <c r="I79" s="634"/>
      <c r="J79" s="634"/>
      <c r="K79" s="634"/>
      <c r="L79" s="634"/>
      <c r="M79" s="634"/>
      <c r="N79" s="634"/>
      <c r="O79" s="634"/>
      <c r="P79" s="634"/>
      <c r="Q79" s="634"/>
      <c r="R79" s="634"/>
      <c r="S79" s="634"/>
      <c r="T79" s="634"/>
      <c r="U79" s="634"/>
      <c r="V79" s="634"/>
      <c r="W79" s="634"/>
      <c r="X79" s="634"/>
      <c r="Y79" s="635"/>
      <c r="Z79" s="356" t="s">
        <v>618</v>
      </c>
      <c r="AA79" s="543"/>
      <c r="AB79" s="543"/>
      <c r="AC79" s="543"/>
      <c r="AD79" s="543"/>
      <c r="AE79" s="543"/>
      <c r="AF79" s="543"/>
      <c r="AG79" s="543"/>
      <c r="AH79" s="543"/>
      <c r="AI79" s="543"/>
      <c r="AJ79" s="543"/>
      <c r="AK79" s="543"/>
      <c r="AL79" s="543"/>
      <c r="AM79" s="543"/>
      <c r="AN79" s="543"/>
      <c r="AO79" s="543"/>
      <c r="AP79" s="543"/>
      <c r="AQ79" s="543"/>
      <c r="AR79" s="543"/>
      <c r="AS79" s="544"/>
    </row>
    <row r="80" spans="1:61" ht="67.95" customHeight="1">
      <c r="A80" s="696"/>
      <c r="B80" s="712"/>
      <c r="C80" s="713"/>
      <c r="D80" s="713"/>
      <c r="E80" s="714"/>
      <c r="F80" s="636" t="s">
        <v>614</v>
      </c>
      <c r="G80" s="637"/>
      <c r="H80" s="638"/>
      <c r="I80" s="645" t="s">
        <v>615</v>
      </c>
      <c r="J80" s="636" t="s">
        <v>616</v>
      </c>
      <c r="K80" s="637"/>
      <c r="L80" s="638"/>
      <c r="M80" s="648" t="s">
        <v>617</v>
      </c>
      <c r="N80" s="649"/>
      <c r="O80" s="650"/>
      <c r="P80" s="645" t="s">
        <v>506</v>
      </c>
      <c r="Q80" s="557" t="s">
        <v>633</v>
      </c>
      <c r="R80" s="558"/>
      <c r="S80" s="559"/>
      <c r="T80" s="557" t="s">
        <v>634</v>
      </c>
      <c r="U80" s="558"/>
      <c r="V80" s="559"/>
      <c r="W80" s="557" t="s">
        <v>635</v>
      </c>
      <c r="X80" s="558"/>
      <c r="Y80" s="559"/>
      <c r="Z80" s="545" t="s">
        <v>614</v>
      </c>
      <c r="AA80" s="546"/>
      <c r="AB80" s="547"/>
      <c r="AC80" s="554" t="s">
        <v>615</v>
      </c>
      <c r="AD80" s="545" t="s">
        <v>616</v>
      </c>
      <c r="AE80" s="546"/>
      <c r="AF80" s="547"/>
      <c r="AG80" s="568" t="s">
        <v>617</v>
      </c>
      <c r="AH80" s="569"/>
      <c r="AI80" s="570"/>
      <c r="AJ80" s="554" t="s">
        <v>506</v>
      </c>
      <c r="AK80" s="356" t="s">
        <v>633</v>
      </c>
      <c r="AL80" s="543"/>
      <c r="AM80" s="544"/>
      <c r="AN80" s="356" t="s">
        <v>634</v>
      </c>
      <c r="AO80" s="543"/>
      <c r="AP80" s="544"/>
      <c r="AQ80" s="356" t="s">
        <v>635</v>
      </c>
      <c r="AR80" s="543"/>
      <c r="AS80" s="544"/>
    </row>
    <row r="81" spans="1:45" ht="60" customHeight="1">
      <c r="A81" s="696"/>
      <c r="B81" s="712"/>
      <c r="C81" s="713"/>
      <c r="D81" s="713"/>
      <c r="E81" s="714"/>
      <c r="F81" s="639"/>
      <c r="G81" s="640"/>
      <c r="H81" s="641"/>
      <c r="I81" s="646"/>
      <c r="J81" s="639"/>
      <c r="K81" s="640"/>
      <c r="L81" s="641"/>
      <c r="M81" s="651"/>
      <c r="N81" s="652"/>
      <c r="O81" s="653"/>
      <c r="P81" s="646"/>
      <c r="Q81" s="226" t="s">
        <v>9</v>
      </c>
      <c r="R81" s="560" t="s">
        <v>501</v>
      </c>
      <c r="S81" s="561"/>
      <c r="T81" s="226" t="s">
        <v>9</v>
      </c>
      <c r="U81" s="560" t="s">
        <v>501</v>
      </c>
      <c r="V81" s="561"/>
      <c r="W81" s="226" t="s">
        <v>9</v>
      </c>
      <c r="X81" s="560" t="s">
        <v>501</v>
      </c>
      <c r="Y81" s="561"/>
      <c r="Z81" s="548"/>
      <c r="AA81" s="549"/>
      <c r="AB81" s="550"/>
      <c r="AC81" s="555"/>
      <c r="AD81" s="548"/>
      <c r="AE81" s="549"/>
      <c r="AF81" s="550"/>
      <c r="AG81" s="571"/>
      <c r="AH81" s="572"/>
      <c r="AI81" s="573"/>
      <c r="AJ81" s="555"/>
      <c r="AK81" s="69" t="s">
        <v>9</v>
      </c>
      <c r="AL81" s="564" t="s">
        <v>501</v>
      </c>
      <c r="AM81" s="565"/>
      <c r="AN81" s="69" t="s">
        <v>9</v>
      </c>
      <c r="AO81" s="564" t="s">
        <v>501</v>
      </c>
      <c r="AP81" s="565"/>
      <c r="AQ81" s="69" t="s">
        <v>9</v>
      </c>
      <c r="AR81" s="564" t="s">
        <v>501</v>
      </c>
      <c r="AS81" s="565"/>
    </row>
    <row r="82" spans="1:45" ht="60" customHeight="1">
      <c r="A82" s="697"/>
      <c r="B82" s="715"/>
      <c r="C82" s="716"/>
      <c r="D82" s="716"/>
      <c r="E82" s="717"/>
      <c r="F82" s="642"/>
      <c r="G82" s="643"/>
      <c r="H82" s="644"/>
      <c r="I82" s="647"/>
      <c r="J82" s="642"/>
      <c r="K82" s="643"/>
      <c r="L82" s="644"/>
      <c r="M82" s="654"/>
      <c r="N82" s="655"/>
      <c r="O82" s="656"/>
      <c r="P82" s="647"/>
      <c r="Q82" s="227" t="s">
        <v>214</v>
      </c>
      <c r="R82" s="562"/>
      <c r="S82" s="563"/>
      <c r="T82" s="227" t="s">
        <v>214</v>
      </c>
      <c r="U82" s="562"/>
      <c r="V82" s="563"/>
      <c r="W82" s="227" t="s">
        <v>214</v>
      </c>
      <c r="X82" s="562"/>
      <c r="Y82" s="563"/>
      <c r="Z82" s="551"/>
      <c r="AA82" s="552"/>
      <c r="AB82" s="553"/>
      <c r="AC82" s="556"/>
      <c r="AD82" s="551"/>
      <c r="AE82" s="552"/>
      <c r="AF82" s="553"/>
      <c r="AG82" s="339"/>
      <c r="AH82" s="340"/>
      <c r="AI82" s="341"/>
      <c r="AJ82" s="556"/>
      <c r="AK82" s="38" t="s">
        <v>214</v>
      </c>
      <c r="AL82" s="566"/>
      <c r="AM82" s="567"/>
      <c r="AN82" s="38" t="s">
        <v>214</v>
      </c>
      <c r="AO82" s="566"/>
      <c r="AP82" s="567"/>
      <c r="AQ82" s="38" t="s">
        <v>214</v>
      </c>
      <c r="AR82" s="566"/>
      <c r="AS82" s="567"/>
    </row>
    <row r="83" spans="1:45" ht="40.049999999999997" customHeight="1">
      <c r="A83" s="498" t="s">
        <v>494</v>
      </c>
      <c r="B83" s="686"/>
      <c r="C83" s="687"/>
      <c r="D83" s="687"/>
      <c r="E83" s="688"/>
      <c r="F83" s="489"/>
      <c r="G83" s="490"/>
      <c r="H83" s="491"/>
      <c r="I83" s="498"/>
      <c r="J83" s="621"/>
      <c r="K83" s="622"/>
      <c r="L83" s="623"/>
      <c r="M83" s="657"/>
      <c r="N83" s="658"/>
      <c r="O83" s="659"/>
      <c r="P83" s="525"/>
      <c r="Q83" s="630"/>
      <c r="R83" s="666"/>
      <c r="S83" s="667"/>
      <c r="T83" s="672"/>
      <c r="U83" s="666"/>
      <c r="V83" s="675"/>
      <c r="W83" s="630"/>
      <c r="X83" s="510"/>
      <c r="Y83" s="511"/>
      <c r="Z83" s="489"/>
      <c r="AA83" s="490"/>
      <c r="AB83" s="491"/>
      <c r="AC83" s="498"/>
      <c r="AD83" s="621"/>
      <c r="AE83" s="622"/>
      <c r="AF83" s="623"/>
      <c r="AG83" s="657"/>
      <c r="AH83" s="658"/>
      <c r="AI83" s="659"/>
      <c r="AJ83" s="525"/>
      <c r="AK83" s="507"/>
      <c r="AL83" s="537"/>
      <c r="AM83" s="538"/>
      <c r="AN83" s="507"/>
      <c r="AO83" s="501"/>
      <c r="AP83" s="502"/>
      <c r="AQ83" s="507"/>
      <c r="AR83" s="501"/>
      <c r="AS83" s="502"/>
    </row>
    <row r="84" spans="1:45" ht="40.049999999999997" customHeight="1">
      <c r="A84" s="499"/>
      <c r="B84" s="689"/>
      <c r="C84" s="690"/>
      <c r="D84" s="690"/>
      <c r="E84" s="691"/>
      <c r="F84" s="492"/>
      <c r="G84" s="493"/>
      <c r="H84" s="494"/>
      <c r="I84" s="499"/>
      <c r="J84" s="624"/>
      <c r="K84" s="625"/>
      <c r="L84" s="626"/>
      <c r="M84" s="660"/>
      <c r="N84" s="661"/>
      <c r="O84" s="662"/>
      <c r="P84" s="499"/>
      <c r="Q84" s="631"/>
      <c r="R84" s="668"/>
      <c r="S84" s="669"/>
      <c r="T84" s="673"/>
      <c r="U84" s="676"/>
      <c r="V84" s="677"/>
      <c r="W84" s="631"/>
      <c r="X84" s="512"/>
      <c r="Y84" s="513"/>
      <c r="Z84" s="492"/>
      <c r="AA84" s="493"/>
      <c r="AB84" s="494"/>
      <c r="AC84" s="499"/>
      <c r="AD84" s="624"/>
      <c r="AE84" s="625"/>
      <c r="AF84" s="626"/>
      <c r="AG84" s="660"/>
      <c r="AH84" s="661"/>
      <c r="AI84" s="662"/>
      <c r="AJ84" s="499"/>
      <c r="AK84" s="508"/>
      <c r="AL84" s="539"/>
      <c r="AM84" s="540"/>
      <c r="AN84" s="508"/>
      <c r="AO84" s="503"/>
      <c r="AP84" s="504"/>
      <c r="AQ84" s="508"/>
      <c r="AR84" s="503"/>
      <c r="AS84" s="504"/>
    </row>
    <row r="85" spans="1:45" ht="40.049999999999997" customHeight="1">
      <c r="A85" s="499"/>
      <c r="B85" s="689"/>
      <c r="C85" s="690"/>
      <c r="D85" s="690"/>
      <c r="E85" s="691"/>
      <c r="F85" s="492"/>
      <c r="G85" s="493"/>
      <c r="H85" s="494"/>
      <c r="I85" s="499"/>
      <c r="J85" s="624"/>
      <c r="K85" s="625"/>
      <c r="L85" s="626"/>
      <c r="M85" s="660"/>
      <c r="N85" s="661"/>
      <c r="O85" s="662"/>
      <c r="P85" s="499"/>
      <c r="Q85" s="631"/>
      <c r="R85" s="668"/>
      <c r="S85" s="669"/>
      <c r="T85" s="673"/>
      <c r="U85" s="676"/>
      <c r="V85" s="677"/>
      <c r="W85" s="631"/>
      <c r="X85" s="512"/>
      <c r="Y85" s="513"/>
      <c r="Z85" s="492"/>
      <c r="AA85" s="493"/>
      <c r="AB85" s="494"/>
      <c r="AC85" s="499"/>
      <c r="AD85" s="624"/>
      <c r="AE85" s="625"/>
      <c r="AF85" s="626"/>
      <c r="AG85" s="660"/>
      <c r="AH85" s="661"/>
      <c r="AI85" s="662"/>
      <c r="AJ85" s="499"/>
      <c r="AK85" s="508"/>
      <c r="AL85" s="539"/>
      <c r="AM85" s="540"/>
      <c r="AN85" s="508"/>
      <c r="AO85" s="503"/>
      <c r="AP85" s="504"/>
      <c r="AQ85" s="508"/>
      <c r="AR85" s="503"/>
      <c r="AS85" s="504"/>
    </row>
    <row r="86" spans="1:45" ht="40.049999999999997" customHeight="1">
      <c r="A86" s="499"/>
      <c r="B86" s="689"/>
      <c r="C86" s="690"/>
      <c r="D86" s="690"/>
      <c r="E86" s="691"/>
      <c r="F86" s="492"/>
      <c r="G86" s="493"/>
      <c r="H86" s="494"/>
      <c r="I86" s="499"/>
      <c r="J86" s="624"/>
      <c r="K86" s="625"/>
      <c r="L86" s="626"/>
      <c r="M86" s="660"/>
      <c r="N86" s="661"/>
      <c r="O86" s="662"/>
      <c r="P86" s="499"/>
      <c r="Q86" s="631"/>
      <c r="R86" s="668"/>
      <c r="S86" s="669"/>
      <c r="T86" s="673"/>
      <c r="U86" s="676"/>
      <c r="V86" s="677"/>
      <c r="W86" s="631"/>
      <c r="X86" s="512"/>
      <c r="Y86" s="513"/>
      <c r="Z86" s="492"/>
      <c r="AA86" s="493"/>
      <c r="AB86" s="494"/>
      <c r="AC86" s="499"/>
      <c r="AD86" s="624"/>
      <c r="AE86" s="625"/>
      <c r="AF86" s="626"/>
      <c r="AG86" s="660"/>
      <c r="AH86" s="661"/>
      <c r="AI86" s="662"/>
      <c r="AJ86" s="499"/>
      <c r="AK86" s="508"/>
      <c r="AL86" s="539"/>
      <c r="AM86" s="540"/>
      <c r="AN86" s="508"/>
      <c r="AO86" s="503"/>
      <c r="AP86" s="504"/>
      <c r="AQ86" s="508"/>
      <c r="AR86" s="503"/>
      <c r="AS86" s="504"/>
    </row>
    <row r="87" spans="1:45" ht="40.049999999999997" customHeight="1">
      <c r="A87" s="499"/>
      <c r="B87" s="689"/>
      <c r="C87" s="690"/>
      <c r="D87" s="690"/>
      <c r="E87" s="691"/>
      <c r="F87" s="492"/>
      <c r="G87" s="493"/>
      <c r="H87" s="494"/>
      <c r="I87" s="499"/>
      <c r="J87" s="624"/>
      <c r="K87" s="625"/>
      <c r="L87" s="626"/>
      <c r="M87" s="660"/>
      <c r="N87" s="661"/>
      <c r="O87" s="662"/>
      <c r="P87" s="499"/>
      <c r="Q87" s="631"/>
      <c r="R87" s="668"/>
      <c r="S87" s="669"/>
      <c r="T87" s="673"/>
      <c r="U87" s="676"/>
      <c r="V87" s="677"/>
      <c r="W87" s="631"/>
      <c r="X87" s="512"/>
      <c r="Y87" s="513"/>
      <c r="Z87" s="492"/>
      <c r="AA87" s="493"/>
      <c r="AB87" s="494"/>
      <c r="AC87" s="499"/>
      <c r="AD87" s="624"/>
      <c r="AE87" s="625"/>
      <c r="AF87" s="626"/>
      <c r="AG87" s="660"/>
      <c r="AH87" s="661"/>
      <c r="AI87" s="662"/>
      <c r="AJ87" s="499"/>
      <c r="AK87" s="508"/>
      <c r="AL87" s="539"/>
      <c r="AM87" s="540"/>
      <c r="AN87" s="508"/>
      <c r="AO87" s="503"/>
      <c r="AP87" s="504"/>
      <c r="AQ87" s="508"/>
      <c r="AR87" s="503"/>
      <c r="AS87" s="504"/>
    </row>
    <row r="88" spans="1:45" ht="40.049999999999997" customHeight="1">
      <c r="A88" s="500"/>
      <c r="B88" s="692"/>
      <c r="C88" s="693"/>
      <c r="D88" s="693"/>
      <c r="E88" s="694"/>
      <c r="F88" s="495"/>
      <c r="G88" s="496"/>
      <c r="H88" s="497"/>
      <c r="I88" s="500"/>
      <c r="J88" s="627"/>
      <c r="K88" s="628"/>
      <c r="L88" s="629"/>
      <c r="M88" s="663"/>
      <c r="N88" s="664"/>
      <c r="O88" s="665"/>
      <c r="P88" s="500"/>
      <c r="Q88" s="632"/>
      <c r="R88" s="670"/>
      <c r="S88" s="671"/>
      <c r="T88" s="674"/>
      <c r="U88" s="678"/>
      <c r="V88" s="679"/>
      <c r="W88" s="632"/>
      <c r="X88" s="514"/>
      <c r="Y88" s="515"/>
      <c r="Z88" s="495"/>
      <c r="AA88" s="496"/>
      <c r="AB88" s="497"/>
      <c r="AC88" s="500"/>
      <c r="AD88" s="627"/>
      <c r="AE88" s="628"/>
      <c r="AF88" s="629"/>
      <c r="AG88" s="663"/>
      <c r="AH88" s="664"/>
      <c r="AI88" s="665"/>
      <c r="AJ88" s="500"/>
      <c r="AK88" s="509"/>
      <c r="AL88" s="541"/>
      <c r="AM88" s="542"/>
      <c r="AN88" s="509"/>
      <c r="AO88" s="505"/>
      <c r="AP88" s="506"/>
      <c r="AQ88" s="509"/>
      <c r="AR88" s="505"/>
      <c r="AS88" s="506"/>
    </row>
    <row r="89" spans="1:45" ht="40.049999999999997" customHeight="1">
      <c r="A89" s="498" t="s">
        <v>495</v>
      </c>
      <c r="B89" s="657"/>
      <c r="C89" s="658"/>
      <c r="D89" s="658"/>
      <c r="E89" s="659"/>
      <c r="F89" s="657"/>
      <c r="G89" s="658"/>
      <c r="H89" s="659"/>
      <c r="I89" s="498"/>
      <c r="J89" s="528"/>
      <c r="K89" s="529"/>
      <c r="L89" s="530"/>
      <c r="M89" s="621"/>
      <c r="N89" s="622"/>
      <c r="O89" s="623"/>
      <c r="P89" s="525"/>
      <c r="Q89" s="630"/>
      <c r="R89" s="666"/>
      <c r="S89" s="667"/>
      <c r="T89" s="672"/>
      <c r="U89" s="666"/>
      <c r="V89" s="667"/>
      <c r="W89" s="630"/>
      <c r="X89" s="510"/>
      <c r="Y89" s="511"/>
      <c r="Z89" s="657"/>
      <c r="AA89" s="658"/>
      <c r="AB89" s="659"/>
      <c r="AC89" s="498"/>
      <c r="AD89" s="528"/>
      <c r="AE89" s="529"/>
      <c r="AF89" s="530"/>
      <c r="AG89" s="621"/>
      <c r="AH89" s="622"/>
      <c r="AI89" s="623"/>
      <c r="AJ89" s="525"/>
      <c r="AK89" s="507"/>
      <c r="AL89" s="537"/>
      <c r="AM89" s="538"/>
      <c r="AN89" s="507"/>
      <c r="AO89" s="501"/>
      <c r="AP89" s="502"/>
      <c r="AQ89" s="507"/>
      <c r="AR89" s="501"/>
      <c r="AS89" s="502"/>
    </row>
    <row r="90" spans="1:45" ht="40.049999999999997" customHeight="1">
      <c r="A90" s="499"/>
      <c r="B90" s="660"/>
      <c r="C90" s="661"/>
      <c r="D90" s="661"/>
      <c r="E90" s="662"/>
      <c r="F90" s="660"/>
      <c r="G90" s="661"/>
      <c r="H90" s="662"/>
      <c r="I90" s="499"/>
      <c r="J90" s="531"/>
      <c r="K90" s="532"/>
      <c r="L90" s="533"/>
      <c r="M90" s="624"/>
      <c r="N90" s="625"/>
      <c r="O90" s="626"/>
      <c r="P90" s="499"/>
      <c r="Q90" s="631"/>
      <c r="R90" s="668"/>
      <c r="S90" s="669"/>
      <c r="T90" s="673"/>
      <c r="U90" s="668"/>
      <c r="V90" s="669"/>
      <c r="W90" s="631"/>
      <c r="X90" s="512"/>
      <c r="Y90" s="513"/>
      <c r="Z90" s="660"/>
      <c r="AA90" s="661"/>
      <c r="AB90" s="662"/>
      <c r="AC90" s="499"/>
      <c r="AD90" s="531"/>
      <c r="AE90" s="532"/>
      <c r="AF90" s="533"/>
      <c r="AG90" s="624"/>
      <c r="AH90" s="625"/>
      <c r="AI90" s="626"/>
      <c r="AJ90" s="526"/>
      <c r="AK90" s="508"/>
      <c r="AL90" s="539"/>
      <c r="AM90" s="540"/>
      <c r="AN90" s="508"/>
      <c r="AO90" s="503"/>
      <c r="AP90" s="504"/>
      <c r="AQ90" s="508"/>
      <c r="AR90" s="503"/>
      <c r="AS90" s="504"/>
    </row>
    <row r="91" spans="1:45" ht="40.049999999999997" customHeight="1">
      <c r="A91" s="499"/>
      <c r="B91" s="660"/>
      <c r="C91" s="661"/>
      <c r="D91" s="661"/>
      <c r="E91" s="662"/>
      <c r="F91" s="660"/>
      <c r="G91" s="661"/>
      <c r="H91" s="662"/>
      <c r="I91" s="499"/>
      <c r="J91" s="531"/>
      <c r="K91" s="532"/>
      <c r="L91" s="533"/>
      <c r="M91" s="624"/>
      <c r="N91" s="625"/>
      <c r="O91" s="626"/>
      <c r="P91" s="499"/>
      <c r="Q91" s="631"/>
      <c r="R91" s="668"/>
      <c r="S91" s="669"/>
      <c r="T91" s="673"/>
      <c r="U91" s="668"/>
      <c r="V91" s="669"/>
      <c r="W91" s="631"/>
      <c r="X91" s="512"/>
      <c r="Y91" s="513"/>
      <c r="Z91" s="660"/>
      <c r="AA91" s="661"/>
      <c r="AB91" s="662"/>
      <c r="AC91" s="499"/>
      <c r="AD91" s="531"/>
      <c r="AE91" s="532"/>
      <c r="AF91" s="533"/>
      <c r="AG91" s="624"/>
      <c r="AH91" s="625"/>
      <c r="AI91" s="626"/>
      <c r="AJ91" s="526"/>
      <c r="AK91" s="508"/>
      <c r="AL91" s="539"/>
      <c r="AM91" s="540"/>
      <c r="AN91" s="508"/>
      <c r="AO91" s="503"/>
      <c r="AP91" s="504"/>
      <c r="AQ91" s="508"/>
      <c r="AR91" s="503"/>
      <c r="AS91" s="504"/>
    </row>
    <row r="92" spans="1:45" ht="40.049999999999997" customHeight="1">
      <c r="A92" s="499"/>
      <c r="B92" s="660"/>
      <c r="C92" s="661"/>
      <c r="D92" s="661"/>
      <c r="E92" s="662"/>
      <c r="F92" s="660"/>
      <c r="G92" s="661"/>
      <c r="H92" s="662"/>
      <c r="I92" s="499"/>
      <c r="J92" s="531"/>
      <c r="K92" s="532"/>
      <c r="L92" s="533"/>
      <c r="M92" s="624"/>
      <c r="N92" s="625"/>
      <c r="O92" s="626"/>
      <c r="P92" s="499"/>
      <c r="Q92" s="631"/>
      <c r="R92" s="668"/>
      <c r="S92" s="669"/>
      <c r="T92" s="673"/>
      <c r="U92" s="668"/>
      <c r="V92" s="669"/>
      <c r="W92" s="631"/>
      <c r="X92" s="512"/>
      <c r="Y92" s="513"/>
      <c r="Z92" s="660"/>
      <c r="AA92" s="661"/>
      <c r="AB92" s="662"/>
      <c r="AC92" s="499"/>
      <c r="AD92" s="531"/>
      <c r="AE92" s="532"/>
      <c r="AF92" s="533"/>
      <c r="AG92" s="624"/>
      <c r="AH92" s="625"/>
      <c r="AI92" s="626"/>
      <c r="AJ92" s="526"/>
      <c r="AK92" s="508"/>
      <c r="AL92" s="539"/>
      <c r="AM92" s="540"/>
      <c r="AN92" s="508"/>
      <c r="AO92" s="503"/>
      <c r="AP92" s="504"/>
      <c r="AQ92" s="508"/>
      <c r="AR92" s="503"/>
      <c r="AS92" s="504"/>
    </row>
    <row r="93" spans="1:45" ht="40.049999999999997" customHeight="1">
      <c r="A93" s="499"/>
      <c r="B93" s="660"/>
      <c r="C93" s="661"/>
      <c r="D93" s="661"/>
      <c r="E93" s="662"/>
      <c r="F93" s="660"/>
      <c r="G93" s="661"/>
      <c r="H93" s="662"/>
      <c r="I93" s="499"/>
      <c r="J93" s="531"/>
      <c r="K93" s="532"/>
      <c r="L93" s="533"/>
      <c r="M93" s="624"/>
      <c r="N93" s="625"/>
      <c r="O93" s="626"/>
      <c r="P93" s="499"/>
      <c r="Q93" s="631"/>
      <c r="R93" s="668"/>
      <c r="S93" s="669"/>
      <c r="T93" s="673"/>
      <c r="U93" s="668"/>
      <c r="V93" s="669"/>
      <c r="W93" s="631"/>
      <c r="X93" s="512"/>
      <c r="Y93" s="513"/>
      <c r="Z93" s="660"/>
      <c r="AA93" s="661"/>
      <c r="AB93" s="662"/>
      <c r="AC93" s="499"/>
      <c r="AD93" s="531"/>
      <c r="AE93" s="532"/>
      <c r="AF93" s="533"/>
      <c r="AG93" s="624"/>
      <c r="AH93" s="625"/>
      <c r="AI93" s="626"/>
      <c r="AJ93" s="526"/>
      <c r="AK93" s="508"/>
      <c r="AL93" s="539"/>
      <c r="AM93" s="540"/>
      <c r="AN93" s="508"/>
      <c r="AO93" s="503"/>
      <c r="AP93" s="504"/>
      <c r="AQ93" s="508"/>
      <c r="AR93" s="503"/>
      <c r="AS93" s="504"/>
    </row>
    <row r="94" spans="1:45" ht="40.049999999999997" customHeight="1">
      <c r="A94" s="500"/>
      <c r="B94" s="663"/>
      <c r="C94" s="664"/>
      <c r="D94" s="664"/>
      <c r="E94" s="665"/>
      <c r="F94" s="663"/>
      <c r="G94" s="664"/>
      <c r="H94" s="665"/>
      <c r="I94" s="500"/>
      <c r="J94" s="534"/>
      <c r="K94" s="535"/>
      <c r="L94" s="536"/>
      <c r="M94" s="627"/>
      <c r="N94" s="628"/>
      <c r="O94" s="629"/>
      <c r="P94" s="500"/>
      <c r="Q94" s="632"/>
      <c r="R94" s="670"/>
      <c r="S94" s="671"/>
      <c r="T94" s="674"/>
      <c r="U94" s="670"/>
      <c r="V94" s="671"/>
      <c r="W94" s="632"/>
      <c r="X94" s="514"/>
      <c r="Y94" s="515"/>
      <c r="Z94" s="663"/>
      <c r="AA94" s="664"/>
      <c r="AB94" s="665"/>
      <c r="AC94" s="500"/>
      <c r="AD94" s="534"/>
      <c r="AE94" s="535"/>
      <c r="AF94" s="536"/>
      <c r="AG94" s="627"/>
      <c r="AH94" s="628"/>
      <c r="AI94" s="629"/>
      <c r="AJ94" s="527"/>
      <c r="AK94" s="509"/>
      <c r="AL94" s="541"/>
      <c r="AM94" s="542"/>
      <c r="AN94" s="509"/>
      <c r="AO94" s="505"/>
      <c r="AP94" s="506"/>
      <c r="AQ94" s="509"/>
      <c r="AR94" s="505"/>
      <c r="AS94" s="506"/>
    </row>
    <row r="95" spans="1:45" ht="40.049999999999997" customHeight="1">
      <c r="A95" s="498" t="s">
        <v>496</v>
      </c>
      <c r="B95" s="701"/>
      <c r="C95" s="702"/>
      <c r="D95" s="702"/>
      <c r="E95" s="703"/>
      <c r="F95" s="657"/>
      <c r="G95" s="658"/>
      <c r="H95" s="659"/>
      <c r="I95" s="498"/>
      <c r="J95" s="528"/>
      <c r="K95" s="529"/>
      <c r="L95" s="530"/>
      <c r="M95" s="657"/>
      <c r="N95" s="658"/>
      <c r="O95" s="659"/>
      <c r="P95" s="525"/>
      <c r="Q95" s="630"/>
      <c r="R95" s="666"/>
      <c r="S95" s="667"/>
      <c r="T95" s="672"/>
      <c r="U95" s="680"/>
      <c r="V95" s="681"/>
      <c r="W95" s="630"/>
      <c r="X95" s="510"/>
      <c r="Y95" s="511"/>
      <c r="Z95" s="657"/>
      <c r="AA95" s="658"/>
      <c r="AB95" s="659"/>
      <c r="AC95" s="498"/>
      <c r="AD95" s="528"/>
      <c r="AE95" s="529"/>
      <c r="AF95" s="530"/>
      <c r="AG95" s="657"/>
      <c r="AH95" s="658"/>
      <c r="AI95" s="659"/>
      <c r="AJ95" s="525"/>
      <c r="AK95" s="507"/>
      <c r="AL95" s="537"/>
      <c r="AM95" s="538"/>
      <c r="AN95" s="507"/>
      <c r="AO95" s="501"/>
      <c r="AP95" s="502"/>
      <c r="AQ95" s="507"/>
      <c r="AR95" s="501"/>
      <c r="AS95" s="502"/>
    </row>
    <row r="96" spans="1:45" ht="40.049999999999997" customHeight="1">
      <c r="A96" s="499"/>
      <c r="B96" s="704"/>
      <c r="C96" s="256"/>
      <c r="D96" s="256"/>
      <c r="E96" s="705"/>
      <c r="F96" s="660"/>
      <c r="G96" s="661"/>
      <c r="H96" s="662"/>
      <c r="I96" s="499"/>
      <c r="J96" s="531"/>
      <c r="K96" s="532"/>
      <c r="L96" s="533"/>
      <c r="M96" s="660"/>
      <c r="N96" s="661"/>
      <c r="O96" s="662"/>
      <c r="P96" s="499"/>
      <c r="Q96" s="631"/>
      <c r="R96" s="668"/>
      <c r="S96" s="669"/>
      <c r="T96" s="673"/>
      <c r="U96" s="682"/>
      <c r="V96" s="683"/>
      <c r="W96" s="631"/>
      <c r="X96" s="512"/>
      <c r="Y96" s="513"/>
      <c r="Z96" s="660"/>
      <c r="AA96" s="661"/>
      <c r="AB96" s="662"/>
      <c r="AC96" s="499"/>
      <c r="AD96" s="531"/>
      <c r="AE96" s="532"/>
      <c r="AF96" s="533"/>
      <c r="AG96" s="660"/>
      <c r="AH96" s="661"/>
      <c r="AI96" s="662"/>
      <c r="AJ96" s="499"/>
      <c r="AK96" s="508"/>
      <c r="AL96" s="539"/>
      <c r="AM96" s="540"/>
      <c r="AN96" s="508"/>
      <c r="AO96" s="503"/>
      <c r="AP96" s="504"/>
      <c r="AQ96" s="508"/>
      <c r="AR96" s="503"/>
      <c r="AS96" s="504"/>
    </row>
    <row r="97" spans="1:45" ht="40.049999999999997" customHeight="1">
      <c r="A97" s="499"/>
      <c r="B97" s="704"/>
      <c r="C97" s="256"/>
      <c r="D97" s="256"/>
      <c r="E97" s="705"/>
      <c r="F97" s="660"/>
      <c r="G97" s="661"/>
      <c r="H97" s="662"/>
      <c r="I97" s="499"/>
      <c r="J97" s="531"/>
      <c r="K97" s="532"/>
      <c r="L97" s="533"/>
      <c r="M97" s="660"/>
      <c r="N97" s="661"/>
      <c r="O97" s="662"/>
      <c r="P97" s="499"/>
      <c r="Q97" s="631"/>
      <c r="R97" s="668"/>
      <c r="S97" s="669"/>
      <c r="T97" s="673"/>
      <c r="U97" s="682"/>
      <c r="V97" s="683"/>
      <c r="W97" s="631"/>
      <c r="X97" s="512"/>
      <c r="Y97" s="513"/>
      <c r="Z97" s="660"/>
      <c r="AA97" s="661"/>
      <c r="AB97" s="662"/>
      <c r="AC97" s="499"/>
      <c r="AD97" s="531"/>
      <c r="AE97" s="532"/>
      <c r="AF97" s="533"/>
      <c r="AG97" s="660"/>
      <c r="AH97" s="661"/>
      <c r="AI97" s="662"/>
      <c r="AJ97" s="499"/>
      <c r="AK97" s="508"/>
      <c r="AL97" s="539"/>
      <c r="AM97" s="540"/>
      <c r="AN97" s="508"/>
      <c r="AO97" s="503"/>
      <c r="AP97" s="504"/>
      <c r="AQ97" s="508"/>
      <c r="AR97" s="503"/>
      <c r="AS97" s="504"/>
    </row>
    <row r="98" spans="1:45" ht="40.049999999999997" customHeight="1">
      <c r="A98" s="499"/>
      <c r="B98" s="704"/>
      <c r="C98" s="256"/>
      <c r="D98" s="256"/>
      <c r="E98" s="705"/>
      <c r="F98" s="660"/>
      <c r="G98" s="661"/>
      <c r="H98" s="662"/>
      <c r="I98" s="499"/>
      <c r="J98" s="531"/>
      <c r="K98" s="532"/>
      <c r="L98" s="533"/>
      <c r="M98" s="660"/>
      <c r="N98" s="661"/>
      <c r="O98" s="662"/>
      <c r="P98" s="499"/>
      <c r="Q98" s="631"/>
      <c r="R98" s="668"/>
      <c r="S98" s="669"/>
      <c r="T98" s="673"/>
      <c r="U98" s="682"/>
      <c r="V98" s="683"/>
      <c r="W98" s="631"/>
      <c r="X98" s="512"/>
      <c r="Y98" s="513"/>
      <c r="Z98" s="660"/>
      <c r="AA98" s="661"/>
      <c r="AB98" s="662"/>
      <c r="AC98" s="499"/>
      <c r="AD98" s="531"/>
      <c r="AE98" s="532"/>
      <c r="AF98" s="533"/>
      <c r="AG98" s="660"/>
      <c r="AH98" s="661"/>
      <c r="AI98" s="662"/>
      <c r="AJ98" s="499"/>
      <c r="AK98" s="508"/>
      <c r="AL98" s="539"/>
      <c r="AM98" s="540"/>
      <c r="AN98" s="508"/>
      <c r="AO98" s="503"/>
      <c r="AP98" s="504"/>
      <c r="AQ98" s="508"/>
      <c r="AR98" s="503"/>
      <c r="AS98" s="504"/>
    </row>
    <row r="99" spans="1:45" ht="40.049999999999997" customHeight="1">
      <c r="A99" s="499"/>
      <c r="B99" s="704"/>
      <c r="C99" s="256"/>
      <c r="D99" s="256"/>
      <c r="E99" s="705"/>
      <c r="F99" s="660"/>
      <c r="G99" s="661"/>
      <c r="H99" s="662"/>
      <c r="I99" s="499"/>
      <c r="J99" s="531"/>
      <c r="K99" s="532"/>
      <c r="L99" s="533"/>
      <c r="M99" s="660"/>
      <c r="N99" s="661"/>
      <c r="O99" s="662"/>
      <c r="P99" s="499"/>
      <c r="Q99" s="631"/>
      <c r="R99" s="668"/>
      <c r="S99" s="669"/>
      <c r="T99" s="673"/>
      <c r="U99" s="682"/>
      <c r="V99" s="683"/>
      <c r="W99" s="631"/>
      <c r="X99" s="512"/>
      <c r="Y99" s="513"/>
      <c r="Z99" s="660"/>
      <c r="AA99" s="661"/>
      <c r="AB99" s="662"/>
      <c r="AC99" s="499"/>
      <c r="AD99" s="531"/>
      <c r="AE99" s="532"/>
      <c r="AF99" s="533"/>
      <c r="AG99" s="660"/>
      <c r="AH99" s="661"/>
      <c r="AI99" s="662"/>
      <c r="AJ99" s="499"/>
      <c r="AK99" s="508"/>
      <c r="AL99" s="539"/>
      <c r="AM99" s="540"/>
      <c r="AN99" s="508"/>
      <c r="AO99" s="503"/>
      <c r="AP99" s="504"/>
      <c r="AQ99" s="508"/>
      <c r="AR99" s="503"/>
      <c r="AS99" s="504"/>
    </row>
    <row r="100" spans="1:45" ht="40.049999999999997" customHeight="1">
      <c r="A100" s="500"/>
      <c r="B100" s="706"/>
      <c r="C100" s="707"/>
      <c r="D100" s="707"/>
      <c r="E100" s="708"/>
      <c r="F100" s="663"/>
      <c r="G100" s="664"/>
      <c r="H100" s="665"/>
      <c r="I100" s="500"/>
      <c r="J100" s="534"/>
      <c r="K100" s="535"/>
      <c r="L100" s="536"/>
      <c r="M100" s="663"/>
      <c r="N100" s="664"/>
      <c r="O100" s="665"/>
      <c r="P100" s="500"/>
      <c r="Q100" s="632"/>
      <c r="R100" s="670"/>
      <c r="S100" s="671"/>
      <c r="T100" s="674"/>
      <c r="U100" s="684"/>
      <c r="V100" s="685"/>
      <c r="W100" s="632"/>
      <c r="X100" s="514"/>
      <c r="Y100" s="515"/>
      <c r="Z100" s="663"/>
      <c r="AA100" s="664"/>
      <c r="AB100" s="665"/>
      <c r="AC100" s="500"/>
      <c r="AD100" s="534"/>
      <c r="AE100" s="535"/>
      <c r="AF100" s="536"/>
      <c r="AG100" s="663"/>
      <c r="AH100" s="664"/>
      <c r="AI100" s="665"/>
      <c r="AJ100" s="500"/>
      <c r="AK100" s="509"/>
      <c r="AL100" s="541"/>
      <c r="AM100" s="542"/>
      <c r="AN100" s="509"/>
      <c r="AO100" s="505"/>
      <c r="AP100" s="506"/>
      <c r="AQ100" s="509"/>
      <c r="AR100" s="505"/>
      <c r="AS100" s="506"/>
    </row>
    <row r="101" spans="1:45" ht="22.05" customHeight="1">
      <c r="A101" s="498" t="s">
        <v>497</v>
      </c>
      <c r="B101" s="750"/>
      <c r="C101" s="702"/>
      <c r="D101" s="702"/>
      <c r="E101" s="703"/>
      <c r="F101" s="489"/>
      <c r="G101" s="490"/>
      <c r="H101" s="491"/>
      <c r="I101" s="486"/>
      <c r="J101" s="516"/>
      <c r="K101" s="517"/>
      <c r="L101" s="518"/>
      <c r="M101" s="489"/>
      <c r="N101" s="490"/>
      <c r="O101" s="491"/>
      <c r="P101" s="498"/>
      <c r="Q101" s="630"/>
      <c r="R101" s="510"/>
      <c r="S101" s="511"/>
      <c r="T101" s="630"/>
      <c r="U101" s="510"/>
      <c r="V101" s="511"/>
      <c r="W101" s="630"/>
      <c r="X101" s="510"/>
      <c r="Y101" s="511"/>
      <c r="Z101" s="347"/>
      <c r="AA101" s="348"/>
      <c r="AB101" s="349"/>
      <c r="AC101" s="486"/>
      <c r="AD101" s="516"/>
      <c r="AE101" s="517"/>
      <c r="AF101" s="518"/>
      <c r="AG101" s="657"/>
      <c r="AH101" s="658"/>
      <c r="AI101" s="659"/>
      <c r="AJ101" s="525"/>
      <c r="AK101" s="507"/>
      <c r="AL101" s="615"/>
      <c r="AM101" s="616"/>
      <c r="AN101" s="507"/>
      <c r="AO101" s="501"/>
      <c r="AP101" s="502"/>
      <c r="AQ101" s="507"/>
      <c r="AR101" s="501"/>
      <c r="AS101" s="502"/>
    </row>
    <row r="102" spans="1:45" ht="22.05" customHeight="1">
      <c r="A102" s="499"/>
      <c r="B102" s="704"/>
      <c r="C102" s="256"/>
      <c r="D102" s="256"/>
      <c r="E102" s="705"/>
      <c r="F102" s="492"/>
      <c r="G102" s="493"/>
      <c r="H102" s="494"/>
      <c r="I102" s="487"/>
      <c r="J102" s="519"/>
      <c r="K102" s="520"/>
      <c r="L102" s="521"/>
      <c r="M102" s="492"/>
      <c r="N102" s="493"/>
      <c r="O102" s="494"/>
      <c r="P102" s="499"/>
      <c r="Q102" s="631"/>
      <c r="R102" s="512"/>
      <c r="S102" s="513"/>
      <c r="T102" s="631"/>
      <c r="U102" s="512"/>
      <c r="V102" s="513"/>
      <c r="W102" s="631"/>
      <c r="X102" s="512"/>
      <c r="Y102" s="513"/>
      <c r="Z102" s="350"/>
      <c r="AA102" s="351"/>
      <c r="AB102" s="352"/>
      <c r="AC102" s="487"/>
      <c r="AD102" s="519"/>
      <c r="AE102" s="520"/>
      <c r="AF102" s="521"/>
      <c r="AG102" s="660"/>
      <c r="AH102" s="661"/>
      <c r="AI102" s="662"/>
      <c r="AJ102" s="499"/>
      <c r="AK102" s="508"/>
      <c r="AL102" s="617"/>
      <c r="AM102" s="618"/>
      <c r="AN102" s="508"/>
      <c r="AO102" s="503"/>
      <c r="AP102" s="504"/>
      <c r="AQ102" s="508"/>
      <c r="AR102" s="503"/>
      <c r="AS102" s="504"/>
    </row>
    <row r="103" spans="1:45" ht="22.05" customHeight="1">
      <c r="A103" s="499"/>
      <c r="B103" s="704"/>
      <c r="C103" s="256"/>
      <c r="D103" s="256"/>
      <c r="E103" s="705"/>
      <c r="F103" s="492"/>
      <c r="G103" s="493"/>
      <c r="H103" s="494"/>
      <c r="I103" s="487"/>
      <c r="J103" s="519"/>
      <c r="K103" s="520"/>
      <c r="L103" s="521"/>
      <c r="M103" s="492"/>
      <c r="N103" s="493"/>
      <c r="O103" s="494"/>
      <c r="P103" s="499"/>
      <c r="Q103" s="631"/>
      <c r="R103" s="512"/>
      <c r="S103" s="513"/>
      <c r="T103" s="631"/>
      <c r="U103" s="512"/>
      <c r="V103" s="513"/>
      <c r="W103" s="631"/>
      <c r="X103" s="512"/>
      <c r="Y103" s="513"/>
      <c r="Z103" s="350"/>
      <c r="AA103" s="351"/>
      <c r="AB103" s="352"/>
      <c r="AC103" s="487"/>
      <c r="AD103" s="519"/>
      <c r="AE103" s="520"/>
      <c r="AF103" s="521"/>
      <c r="AG103" s="660"/>
      <c r="AH103" s="661"/>
      <c r="AI103" s="662"/>
      <c r="AJ103" s="499"/>
      <c r="AK103" s="508"/>
      <c r="AL103" s="617"/>
      <c r="AM103" s="618"/>
      <c r="AN103" s="508"/>
      <c r="AO103" s="503"/>
      <c r="AP103" s="504"/>
      <c r="AQ103" s="508"/>
      <c r="AR103" s="503"/>
      <c r="AS103" s="504"/>
    </row>
    <row r="104" spans="1:45" ht="22.05" customHeight="1">
      <c r="A104" s="499"/>
      <c r="B104" s="704"/>
      <c r="C104" s="256"/>
      <c r="D104" s="256"/>
      <c r="E104" s="705"/>
      <c r="F104" s="492"/>
      <c r="G104" s="493"/>
      <c r="H104" s="494"/>
      <c r="I104" s="487"/>
      <c r="J104" s="519"/>
      <c r="K104" s="520"/>
      <c r="L104" s="521"/>
      <c r="M104" s="492"/>
      <c r="N104" s="493"/>
      <c r="O104" s="494"/>
      <c r="P104" s="499"/>
      <c r="Q104" s="631"/>
      <c r="R104" s="512"/>
      <c r="S104" s="513"/>
      <c r="T104" s="631"/>
      <c r="U104" s="512"/>
      <c r="V104" s="513"/>
      <c r="W104" s="631"/>
      <c r="X104" s="512"/>
      <c r="Y104" s="513"/>
      <c r="Z104" s="350"/>
      <c r="AA104" s="351"/>
      <c r="AB104" s="352"/>
      <c r="AC104" s="487"/>
      <c r="AD104" s="519"/>
      <c r="AE104" s="520"/>
      <c r="AF104" s="521"/>
      <c r="AG104" s="660"/>
      <c r="AH104" s="661"/>
      <c r="AI104" s="662"/>
      <c r="AJ104" s="499"/>
      <c r="AK104" s="508"/>
      <c r="AL104" s="617"/>
      <c r="AM104" s="618"/>
      <c r="AN104" s="508"/>
      <c r="AO104" s="503"/>
      <c r="AP104" s="504"/>
      <c r="AQ104" s="508"/>
      <c r="AR104" s="503"/>
      <c r="AS104" s="504"/>
    </row>
    <row r="105" spans="1:45" ht="22.05" customHeight="1">
      <c r="A105" s="499"/>
      <c r="B105" s="704"/>
      <c r="C105" s="256"/>
      <c r="D105" s="256"/>
      <c r="E105" s="705"/>
      <c r="F105" s="492"/>
      <c r="G105" s="493"/>
      <c r="H105" s="494"/>
      <c r="I105" s="487"/>
      <c r="J105" s="519"/>
      <c r="K105" s="520"/>
      <c r="L105" s="521"/>
      <c r="M105" s="492"/>
      <c r="N105" s="493"/>
      <c r="O105" s="494"/>
      <c r="P105" s="499"/>
      <c r="Q105" s="631"/>
      <c r="R105" s="512"/>
      <c r="S105" s="513"/>
      <c r="T105" s="631"/>
      <c r="U105" s="512"/>
      <c r="V105" s="513"/>
      <c r="W105" s="631"/>
      <c r="X105" s="512"/>
      <c r="Y105" s="513"/>
      <c r="Z105" s="350"/>
      <c r="AA105" s="351"/>
      <c r="AB105" s="352"/>
      <c r="AC105" s="487"/>
      <c r="AD105" s="519"/>
      <c r="AE105" s="520"/>
      <c r="AF105" s="521"/>
      <c r="AG105" s="660"/>
      <c r="AH105" s="661"/>
      <c r="AI105" s="662"/>
      <c r="AJ105" s="499"/>
      <c r="AK105" s="508"/>
      <c r="AL105" s="617"/>
      <c r="AM105" s="618"/>
      <c r="AN105" s="508"/>
      <c r="AO105" s="503"/>
      <c r="AP105" s="504"/>
      <c r="AQ105" s="508"/>
      <c r="AR105" s="503"/>
      <c r="AS105" s="504"/>
    </row>
    <row r="106" spans="1:45" ht="22.05" customHeight="1">
      <c r="A106" s="500"/>
      <c r="B106" s="706"/>
      <c r="C106" s="707"/>
      <c r="D106" s="707"/>
      <c r="E106" s="708"/>
      <c r="F106" s="495"/>
      <c r="G106" s="496"/>
      <c r="H106" s="497"/>
      <c r="I106" s="488"/>
      <c r="J106" s="522"/>
      <c r="K106" s="523"/>
      <c r="L106" s="524"/>
      <c r="M106" s="495"/>
      <c r="N106" s="496"/>
      <c r="O106" s="497"/>
      <c r="P106" s="500"/>
      <c r="Q106" s="632"/>
      <c r="R106" s="514"/>
      <c r="S106" s="515"/>
      <c r="T106" s="632"/>
      <c r="U106" s="514"/>
      <c r="V106" s="515"/>
      <c r="W106" s="632"/>
      <c r="X106" s="514"/>
      <c r="Y106" s="515"/>
      <c r="Z106" s="353"/>
      <c r="AA106" s="354"/>
      <c r="AB106" s="355"/>
      <c r="AC106" s="488"/>
      <c r="AD106" s="522"/>
      <c r="AE106" s="523"/>
      <c r="AF106" s="524"/>
      <c r="AG106" s="663"/>
      <c r="AH106" s="664"/>
      <c r="AI106" s="665"/>
      <c r="AJ106" s="500"/>
      <c r="AK106" s="509"/>
      <c r="AL106" s="619"/>
      <c r="AM106" s="620"/>
      <c r="AN106" s="509"/>
      <c r="AO106" s="505"/>
      <c r="AP106" s="506"/>
      <c r="AQ106" s="509"/>
      <c r="AR106" s="505"/>
      <c r="AS106" s="506"/>
    </row>
    <row r="107" spans="1:45" ht="22.05" customHeight="1">
      <c r="A107" s="498" t="s">
        <v>498</v>
      </c>
      <c r="B107" s="489"/>
      <c r="C107" s="490"/>
      <c r="D107" s="490"/>
      <c r="E107" s="491"/>
      <c r="F107" s="489"/>
      <c r="G107" s="490"/>
      <c r="H107" s="491"/>
      <c r="I107" s="486"/>
      <c r="J107" s="516"/>
      <c r="K107" s="517"/>
      <c r="L107" s="518"/>
      <c r="M107" s="489"/>
      <c r="N107" s="490"/>
      <c r="O107" s="491"/>
      <c r="P107" s="498"/>
      <c r="Q107" s="630"/>
      <c r="R107" s="510"/>
      <c r="S107" s="511"/>
      <c r="T107" s="630"/>
      <c r="U107" s="510"/>
      <c r="V107" s="511"/>
      <c r="W107" s="630"/>
      <c r="X107" s="510"/>
      <c r="Y107" s="511"/>
      <c r="Z107" s="489"/>
      <c r="AA107" s="490"/>
      <c r="AB107" s="491"/>
      <c r="AC107" s="486"/>
      <c r="AD107" s="516"/>
      <c r="AE107" s="517"/>
      <c r="AF107" s="518"/>
      <c r="AG107" s="489"/>
      <c r="AH107" s="490"/>
      <c r="AI107" s="491"/>
      <c r="AJ107" s="498"/>
      <c r="AK107" s="507"/>
      <c r="AL107" s="501"/>
      <c r="AM107" s="502"/>
      <c r="AN107" s="507"/>
      <c r="AO107" s="501"/>
      <c r="AP107" s="502"/>
      <c r="AQ107" s="507"/>
      <c r="AR107" s="501"/>
      <c r="AS107" s="502"/>
    </row>
    <row r="108" spans="1:45" ht="22.05" customHeight="1">
      <c r="A108" s="499"/>
      <c r="B108" s="492"/>
      <c r="C108" s="493"/>
      <c r="D108" s="493"/>
      <c r="E108" s="494"/>
      <c r="F108" s="492"/>
      <c r="G108" s="493"/>
      <c r="H108" s="494"/>
      <c r="I108" s="487"/>
      <c r="J108" s="519"/>
      <c r="K108" s="520"/>
      <c r="L108" s="521"/>
      <c r="M108" s="492"/>
      <c r="N108" s="493"/>
      <c r="O108" s="494"/>
      <c r="P108" s="499"/>
      <c r="Q108" s="631"/>
      <c r="R108" s="512"/>
      <c r="S108" s="513"/>
      <c r="T108" s="631"/>
      <c r="U108" s="512"/>
      <c r="V108" s="513"/>
      <c r="W108" s="631"/>
      <c r="X108" s="512"/>
      <c r="Y108" s="513"/>
      <c r="Z108" s="492"/>
      <c r="AA108" s="493"/>
      <c r="AB108" s="494"/>
      <c r="AC108" s="487"/>
      <c r="AD108" s="519"/>
      <c r="AE108" s="520"/>
      <c r="AF108" s="521"/>
      <c r="AG108" s="492"/>
      <c r="AH108" s="493"/>
      <c r="AI108" s="494"/>
      <c r="AJ108" s="499"/>
      <c r="AK108" s="508"/>
      <c r="AL108" s="503"/>
      <c r="AM108" s="504"/>
      <c r="AN108" s="508"/>
      <c r="AO108" s="503"/>
      <c r="AP108" s="504"/>
      <c r="AQ108" s="508"/>
      <c r="AR108" s="503"/>
      <c r="AS108" s="504"/>
    </row>
    <row r="109" spans="1:45" ht="22.05" customHeight="1">
      <c r="A109" s="499"/>
      <c r="B109" s="492"/>
      <c r="C109" s="493"/>
      <c r="D109" s="493"/>
      <c r="E109" s="494"/>
      <c r="F109" s="492"/>
      <c r="G109" s="493"/>
      <c r="H109" s="494"/>
      <c r="I109" s="487"/>
      <c r="J109" s="519"/>
      <c r="K109" s="520"/>
      <c r="L109" s="521"/>
      <c r="M109" s="492"/>
      <c r="N109" s="493"/>
      <c r="O109" s="494"/>
      <c r="P109" s="499"/>
      <c r="Q109" s="631"/>
      <c r="R109" s="512"/>
      <c r="S109" s="513"/>
      <c r="T109" s="631"/>
      <c r="U109" s="512"/>
      <c r="V109" s="513"/>
      <c r="W109" s="631"/>
      <c r="X109" s="512"/>
      <c r="Y109" s="513"/>
      <c r="Z109" s="492"/>
      <c r="AA109" s="493"/>
      <c r="AB109" s="494"/>
      <c r="AC109" s="487"/>
      <c r="AD109" s="519"/>
      <c r="AE109" s="520"/>
      <c r="AF109" s="521"/>
      <c r="AG109" s="492"/>
      <c r="AH109" s="493"/>
      <c r="AI109" s="494"/>
      <c r="AJ109" s="499"/>
      <c r="AK109" s="508"/>
      <c r="AL109" s="503"/>
      <c r="AM109" s="504"/>
      <c r="AN109" s="508"/>
      <c r="AO109" s="503"/>
      <c r="AP109" s="504"/>
      <c r="AQ109" s="508"/>
      <c r="AR109" s="503"/>
      <c r="AS109" s="504"/>
    </row>
    <row r="110" spans="1:45" ht="22.05" customHeight="1">
      <c r="A110" s="499"/>
      <c r="B110" s="492"/>
      <c r="C110" s="493"/>
      <c r="D110" s="493"/>
      <c r="E110" s="494"/>
      <c r="F110" s="492"/>
      <c r="G110" s="493"/>
      <c r="H110" s="494"/>
      <c r="I110" s="487"/>
      <c r="J110" s="519"/>
      <c r="K110" s="520"/>
      <c r="L110" s="521"/>
      <c r="M110" s="492"/>
      <c r="N110" s="493"/>
      <c r="O110" s="494"/>
      <c r="P110" s="499"/>
      <c r="Q110" s="631"/>
      <c r="R110" s="512"/>
      <c r="S110" s="513"/>
      <c r="T110" s="631"/>
      <c r="U110" s="512"/>
      <c r="V110" s="513"/>
      <c r="W110" s="631"/>
      <c r="X110" s="512"/>
      <c r="Y110" s="513"/>
      <c r="Z110" s="492"/>
      <c r="AA110" s="493"/>
      <c r="AB110" s="494"/>
      <c r="AC110" s="487"/>
      <c r="AD110" s="519"/>
      <c r="AE110" s="520"/>
      <c r="AF110" s="521"/>
      <c r="AG110" s="492"/>
      <c r="AH110" s="493"/>
      <c r="AI110" s="494"/>
      <c r="AJ110" s="499"/>
      <c r="AK110" s="508"/>
      <c r="AL110" s="503"/>
      <c r="AM110" s="504"/>
      <c r="AN110" s="508"/>
      <c r="AO110" s="503"/>
      <c r="AP110" s="504"/>
      <c r="AQ110" s="508"/>
      <c r="AR110" s="503"/>
      <c r="AS110" s="504"/>
    </row>
    <row r="111" spans="1:45" ht="22.05" customHeight="1">
      <c r="A111" s="499"/>
      <c r="B111" s="492"/>
      <c r="C111" s="493"/>
      <c r="D111" s="493"/>
      <c r="E111" s="494"/>
      <c r="F111" s="492"/>
      <c r="G111" s="493"/>
      <c r="H111" s="494"/>
      <c r="I111" s="487"/>
      <c r="J111" s="519"/>
      <c r="K111" s="520"/>
      <c r="L111" s="521"/>
      <c r="M111" s="492"/>
      <c r="N111" s="493"/>
      <c r="O111" s="494"/>
      <c r="P111" s="499"/>
      <c r="Q111" s="631"/>
      <c r="R111" s="512"/>
      <c r="S111" s="513"/>
      <c r="T111" s="631"/>
      <c r="U111" s="512"/>
      <c r="V111" s="513"/>
      <c r="W111" s="631"/>
      <c r="X111" s="512"/>
      <c r="Y111" s="513"/>
      <c r="Z111" s="492"/>
      <c r="AA111" s="493"/>
      <c r="AB111" s="494"/>
      <c r="AC111" s="487"/>
      <c r="AD111" s="519"/>
      <c r="AE111" s="520"/>
      <c r="AF111" s="521"/>
      <c r="AG111" s="492"/>
      <c r="AH111" s="493"/>
      <c r="AI111" s="494"/>
      <c r="AJ111" s="499"/>
      <c r="AK111" s="508"/>
      <c r="AL111" s="503"/>
      <c r="AM111" s="504"/>
      <c r="AN111" s="508"/>
      <c r="AO111" s="503"/>
      <c r="AP111" s="504"/>
      <c r="AQ111" s="508"/>
      <c r="AR111" s="503"/>
      <c r="AS111" s="504"/>
    </row>
    <row r="112" spans="1:45" ht="22.05" customHeight="1">
      <c r="A112" s="500"/>
      <c r="B112" s="495"/>
      <c r="C112" s="496"/>
      <c r="D112" s="496"/>
      <c r="E112" s="497"/>
      <c r="F112" s="495"/>
      <c r="G112" s="496"/>
      <c r="H112" s="497"/>
      <c r="I112" s="488"/>
      <c r="J112" s="522"/>
      <c r="K112" s="523"/>
      <c r="L112" s="524"/>
      <c r="M112" s="495"/>
      <c r="N112" s="496"/>
      <c r="O112" s="497"/>
      <c r="P112" s="500"/>
      <c r="Q112" s="632"/>
      <c r="R112" s="514"/>
      <c r="S112" s="515"/>
      <c r="T112" s="632"/>
      <c r="U112" s="514"/>
      <c r="V112" s="515"/>
      <c r="W112" s="632"/>
      <c r="X112" s="514"/>
      <c r="Y112" s="515"/>
      <c r="Z112" s="495"/>
      <c r="AA112" s="496"/>
      <c r="AB112" s="497"/>
      <c r="AC112" s="488"/>
      <c r="AD112" s="522"/>
      <c r="AE112" s="523"/>
      <c r="AF112" s="524"/>
      <c r="AG112" s="495"/>
      <c r="AH112" s="496"/>
      <c r="AI112" s="497"/>
      <c r="AJ112" s="500"/>
      <c r="AK112" s="509"/>
      <c r="AL112" s="505"/>
      <c r="AM112" s="506"/>
      <c r="AN112" s="509"/>
      <c r="AO112" s="505"/>
      <c r="AP112" s="506"/>
      <c r="AQ112" s="509"/>
      <c r="AR112" s="505"/>
      <c r="AS112" s="506"/>
    </row>
    <row r="113" spans="1:61" s="91" customFormat="1" ht="40.049999999999997" customHeight="1">
      <c r="A113" s="140" t="s">
        <v>525</v>
      </c>
      <c r="M113" s="92" t="s">
        <v>499</v>
      </c>
      <c r="N113" s="93"/>
      <c r="O113" s="94"/>
      <c r="P113" s="95">
        <f>SUM($P$83:$P$112)</f>
        <v>0</v>
      </c>
      <c r="Q113" s="698">
        <f>($P83*Q83)+($P89*Q89)+($P95*Q95)+($P101*Q101)+($P107*Q107)</f>
        <v>0</v>
      </c>
      <c r="R113" s="699"/>
      <c r="S113" s="700"/>
      <c r="T113" s="698">
        <f t="shared" ref="T113" si="0">($P83*T83)+($P89*T89)+($P95*T95)+($P101*T101)+($P107*T107)</f>
        <v>0</v>
      </c>
      <c r="U113" s="699"/>
      <c r="V113" s="700"/>
      <c r="W113" s="698">
        <f t="shared" ref="W113" si="1">($P83*W83)+($P89*W89)+($P95*W95)+($P101*W101)+($P107*W107)</f>
        <v>0</v>
      </c>
      <c r="X113" s="699"/>
      <c r="Y113" s="700"/>
      <c r="AE113" s="96"/>
      <c r="AF113" s="97"/>
      <c r="AG113" s="92" t="s">
        <v>499</v>
      </c>
      <c r="AH113" s="93"/>
      <c r="AI113" s="94"/>
      <c r="AJ113" s="95">
        <f>SUM($AJ$83:$AJ$112)</f>
        <v>0</v>
      </c>
      <c r="AK113" s="698">
        <f>($AJ83*AK83)+($AJ89*AK89)+($AJ95*AK95)+($AJ101*AK101)+($AJ107*AK107)</f>
        <v>0</v>
      </c>
      <c r="AL113" s="699"/>
      <c r="AM113" s="700"/>
      <c r="AN113" s="698">
        <f t="shared" ref="AN113" si="2">($AJ83*AN83)+($AJ89*AN89)+($AJ95*AN95)+($AJ101*AN101)+($AJ107*AN107)</f>
        <v>0</v>
      </c>
      <c r="AO113" s="699"/>
      <c r="AP113" s="700"/>
      <c r="AQ113" s="698">
        <f t="shared" ref="AQ113" si="3">($AJ83*AQ83)+($AJ89*AQ89)+($AJ95*AQ95)+($AJ101*AQ101)+($AJ107*AQ107)</f>
        <v>0</v>
      </c>
      <c r="AR113" s="699"/>
      <c r="AS113" s="700"/>
      <c r="AZ113" s="97"/>
      <c r="BA113" s="97"/>
      <c r="BB113" s="97"/>
      <c r="BC113" s="97"/>
      <c r="BD113" s="97"/>
      <c r="BE113" s="97"/>
      <c r="BF113" s="97"/>
      <c r="BG113" s="97"/>
      <c r="BH113" s="97"/>
      <c r="BI113" s="97"/>
    </row>
    <row r="114" spans="1:61" ht="36.450000000000003" customHeight="1">
      <c r="A114" s="778" t="s">
        <v>526</v>
      </c>
      <c r="B114" s="778"/>
      <c r="C114" s="778"/>
      <c r="D114" s="778"/>
      <c r="E114" s="778"/>
      <c r="F114" s="778"/>
      <c r="G114" s="778" t="s">
        <v>532</v>
      </c>
      <c r="H114" s="778"/>
      <c r="I114" s="778"/>
      <c r="J114" s="778"/>
      <c r="K114" s="778"/>
      <c r="L114" s="778"/>
      <c r="M114" s="32"/>
      <c r="N114" s="32"/>
      <c r="O114" s="32"/>
      <c r="P114" s="32"/>
      <c r="Q114" s="32"/>
      <c r="R114" s="32"/>
      <c r="S114" s="32"/>
      <c r="AG114" s="32"/>
      <c r="AH114" s="32"/>
      <c r="AI114" s="32"/>
      <c r="AJ114" s="32"/>
      <c r="AK114" s="32"/>
      <c r="AL114" s="32"/>
      <c r="AM114" s="32"/>
    </row>
    <row r="115" spans="1:61" s="97" customFormat="1" ht="40.049999999999997" customHeight="1">
      <c r="A115" s="778" t="s">
        <v>527</v>
      </c>
      <c r="B115" s="778"/>
      <c r="C115" s="778"/>
      <c r="D115" s="778"/>
      <c r="E115" s="778"/>
      <c r="F115" s="778"/>
      <c r="G115" s="778" t="s">
        <v>533</v>
      </c>
      <c r="H115" s="778"/>
      <c r="I115" s="778"/>
      <c r="J115" s="778"/>
      <c r="K115" s="778"/>
      <c r="L115" s="778"/>
      <c r="M115" s="92" t="s">
        <v>507</v>
      </c>
      <c r="N115" s="93"/>
      <c r="O115" s="94"/>
      <c r="P115" s="95">
        <f>P113+P74</f>
        <v>0</v>
      </c>
      <c r="Q115" s="748" t="s">
        <v>4</v>
      </c>
      <c r="R115" s="749"/>
      <c r="S115" s="98">
        <f>Q74+Q113</f>
        <v>0</v>
      </c>
      <c r="T115" s="748" t="s">
        <v>508</v>
      </c>
      <c r="U115" s="749"/>
      <c r="V115" s="98">
        <f>T74+T113</f>
        <v>0</v>
      </c>
      <c r="W115" s="748" t="s">
        <v>509</v>
      </c>
      <c r="X115" s="749"/>
      <c r="Y115" s="99">
        <f>W74+W113</f>
        <v>0</v>
      </c>
      <c r="AG115" s="92" t="s">
        <v>507</v>
      </c>
      <c r="AH115" s="93"/>
      <c r="AI115" s="94"/>
      <c r="AJ115" s="95">
        <f>AJ113+AJ74</f>
        <v>0</v>
      </c>
      <c r="AK115" s="748" t="s">
        <v>4</v>
      </c>
      <c r="AL115" s="749"/>
      <c r="AM115" s="98">
        <f>AK74+AK113</f>
        <v>0</v>
      </c>
      <c r="AN115" s="748" t="s">
        <v>508</v>
      </c>
      <c r="AO115" s="749"/>
      <c r="AP115" s="98">
        <f>AN74+AN113</f>
        <v>0</v>
      </c>
      <c r="AQ115" s="748" t="s">
        <v>509</v>
      </c>
      <c r="AR115" s="749"/>
      <c r="AS115" s="207">
        <f>AQ74+AQ113</f>
        <v>0</v>
      </c>
    </row>
    <row r="116" spans="1:61" ht="53.55" customHeight="1">
      <c r="A116" s="778" t="s">
        <v>528</v>
      </c>
      <c r="B116" s="778"/>
      <c r="C116" s="778"/>
      <c r="D116" s="778"/>
      <c r="E116" s="778"/>
      <c r="F116" s="778"/>
      <c r="G116" s="778" t="s">
        <v>534</v>
      </c>
      <c r="H116" s="778"/>
      <c r="I116" s="778"/>
      <c r="J116" s="778"/>
      <c r="K116" s="778"/>
      <c r="L116" s="778"/>
    </row>
    <row r="117" spans="1:61" ht="44.55" customHeight="1">
      <c r="A117" s="778" t="s">
        <v>530</v>
      </c>
      <c r="B117" s="778"/>
      <c r="C117" s="778"/>
      <c r="D117" s="778"/>
      <c r="E117" s="778"/>
      <c r="F117" s="778"/>
      <c r="G117" s="777" t="s">
        <v>537</v>
      </c>
      <c r="H117" s="777"/>
      <c r="I117" s="777"/>
      <c r="J117" s="777"/>
      <c r="K117" s="777"/>
      <c r="L117" s="777"/>
      <c r="M117" s="139"/>
      <c r="N117" s="139"/>
    </row>
    <row r="118" spans="1:61" ht="44.55" customHeight="1">
      <c r="A118" s="778" t="s">
        <v>531</v>
      </c>
      <c r="B118" s="778"/>
      <c r="C118" s="778"/>
      <c r="D118" s="778"/>
      <c r="E118" s="778"/>
      <c r="F118" s="778"/>
      <c r="G118" s="778" t="s">
        <v>536</v>
      </c>
      <c r="H118" s="778"/>
      <c r="I118" s="778"/>
      <c r="J118" s="778"/>
      <c r="K118" s="778"/>
      <c r="L118" s="778"/>
    </row>
    <row r="119" spans="1:61" ht="33.450000000000003" customHeight="1">
      <c r="A119" s="778" t="s">
        <v>529</v>
      </c>
      <c r="B119" s="778"/>
      <c r="C119" s="778"/>
      <c r="D119" s="778"/>
      <c r="E119" s="778"/>
      <c r="F119" s="778"/>
      <c r="G119" s="778" t="s">
        <v>535</v>
      </c>
      <c r="H119" s="778"/>
      <c r="I119" s="778"/>
      <c r="J119" s="778"/>
      <c r="K119" s="778"/>
      <c r="L119" s="778"/>
    </row>
  </sheetData>
  <sheetProtection selectLockedCells="1"/>
  <mergeCells count="412">
    <mergeCell ref="AR68:AS73"/>
    <mergeCell ref="AR62:AS67"/>
    <mergeCell ref="A68:A73"/>
    <mergeCell ref="B68:E73"/>
    <mergeCell ref="F68:H73"/>
    <mergeCell ref="I68:I73"/>
    <mergeCell ref="J68:L73"/>
    <mergeCell ref="M68:O73"/>
    <mergeCell ref="P68:P73"/>
    <mergeCell ref="Q68:Q73"/>
    <mergeCell ref="R68:S73"/>
    <mergeCell ref="T68:T73"/>
    <mergeCell ref="U68:V73"/>
    <mergeCell ref="W68:W73"/>
    <mergeCell ref="X68:Y73"/>
    <mergeCell ref="Z68:AB73"/>
    <mergeCell ref="AC68:AC73"/>
    <mergeCell ref="AD68:AF73"/>
    <mergeCell ref="AG68:AI73"/>
    <mergeCell ref="AJ68:AJ73"/>
    <mergeCell ref="AK68:AK73"/>
    <mergeCell ref="AL68:AM73"/>
    <mergeCell ref="AN68:AN73"/>
    <mergeCell ref="AO68:AP73"/>
    <mergeCell ref="AQ68:AQ73"/>
    <mergeCell ref="T62:T67"/>
    <mergeCell ref="U62:V67"/>
    <mergeCell ref="W62:W67"/>
    <mergeCell ref="X62:Y67"/>
    <mergeCell ref="Z62:AB67"/>
    <mergeCell ref="AC62:AC67"/>
    <mergeCell ref="AD62:AF67"/>
    <mergeCell ref="AG62:AI67"/>
    <mergeCell ref="AJ62:AJ67"/>
    <mergeCell ref="A62:A67"/>
    <mergeCell ref="B62:E67"/>
    <mergeCell ref="F62:H67"/>
    <mergeCell ref="I62:I67"/>
    <mergeCell ref="J62:L67"/>
    <mergeCell ref="M62:O67"/>
    <mergeCell ref="P62:P67"/>
    <mergeCell ref="Q62:Q67"/>
    <mergeCell ref="R62:S67"/>
    <mergeCell ref="F28:Y28"/>
    <mergeCell ref="Z28:AS28"/>
    <mergeCell ref="F29:H31"/>
    <mergeCell ref="I29:I31"/>
    <mergeCell ref="J29:L31"/>
    <mergeCell ref="M29:O31"/>
    <mergeCell ref="P29:P31"/>
    <mergeCell ref="Z29:AB31"/>
    <mergeCell ref="AC29:AC31"/>
    <mergeCell ref="AD29:AF31"/>
    <mergeCell ref="AG29:AI31"/>
    <mergeCell ref="AJ29:AJ31"/>
    <mergeCell ref="AL30:AM31"/>
    <mergeCell ref="AO30:AP31"/>
    <mergeCell ref="AR30:AS31"/>
    <mergeCell ref="AK29:AM29"/>
    <mergeCell ref="AN29:AP29"/>
    <mergeCell ref="AQ29:AS29"/>
    <mergeCell ref="G117:L117"/>
    <mergeCell ref="G118:L118"/>
    <mergeCell ref="G119:L119"/>
    <mergeCell ref="B4:H4"/>
    <mergeCell ref="J4:L4"/>
    <mergeCell ref="N4:U4"/>
    <mergeCell ref="AG4:AJ4"/>
    <mergeCell ref="AI7:AJ7"/>
    <mergeCell ref="R10:AD10"/>
    <mergeCell ref="C10:M10"/>
    <mergeCell ref="C7:G7"/>
    <mergeCell ref="L7:X7"/>
    <mergeCell ref="AB7:AE7"/>
    <mergeCell ref="A114:F114"/>
    <mergeCell ref="A115:F115"/>
    <mergeCell ref="A116:F116"/>
    <mergeCell ref="A117:F117"/>
    <mergeCell ref="A118:F118"/>
    <mergeCell ref="A119:F119"/>
    <mergeCell ref="G114:L114"/>
    <mergeCell ref="G115:L115"/>
    <mergeCell ref="G116:L116"/>
    <mergeCell ref="B107:E112"/>
    <mergeCell ref="P107:P112"/>
    <mergeCell ref="AL3:AS3"/>
    <mergeCell ref="AL4:AL5"/>
    <mergeCell ref="AL6:AL7"/>
    <mergeCell ref="AL8:AL9"/>
    <mergeCell ref="AL10:AL11"/>
    <mergeCell ref="AL12:AL13"/>
    <mergeCell ref="AI15:AS15"/>
    <mergeCell ref="AI18:AS18"/>
    <mergeCell ref="A15:E15"/>
    <mergeCell ref="A16:E16"/>
    <mergeCell ref="F15:AG15"/>
    <mergeCell ref="F16:AG16"/>
    <mergeCell ref="F18:F19"/>
    <mergeCell ref="G18:AG19"/>
    <mergeCell ref="AI19:AS19"/>
    <mergeCell ref="AI10:AK10"/>
    <mergeCell ref="AG32:AI37"/>
    <mergeCell ref="AJ32:AJ37"/>
    <mergeCell ref="AG38:AI43"/>
    <mergeCell ref="AJ38:AJ43"/>
    <mergeCell ref="AG44:AI49"/>
    <mergeCell ref="AJ44:AJ49"/>
    <mergeCell ref="AG50:AI55"/>
    <mergeCell ref="AJ50:AJ55"/>
    <mergeCell ref="AG56:AI61"/>
    <mergeCell ref="AJ56:AJ61"/>
    <mergeCell ref="Q107:Q112"/>
    <mergeCell ref="R107:S112"/>
    <mergeCell ref="T107:T112"/>
    <mergeCell ref="U107:V112"/>
    <mergeCell ref="AK113:AM113"/>
    <mergeCell ref="AN113:AP113"/>
    <mergeCell ref="AQ113:AS113"/>
    <mergeCell ref="AC38:AC43"/>
    <mergeCell ref="AC44:AC49"/>
    <mergeCell ref="AC50:AC55"/>
    <mergeCell ref="AC56:AC61"/>
    <mergeCell ref="AC95:AC100"/>
    <mergeCell ref="AG95:AI100"/>
    <mergeCell ref="AJ95:AJ100"/>
    <mergeCell ref="AC83:AC88"/>
    <mergeCell ref="AG83:AI88"/>
    <mergeCell ref="AJ83:AJ88"/>
    <mergeCell ref="Q113:S113"/>
    <mergeCell ref="T113:V113"/>
    <mergeCell ref="W113:Y113"/>
    <mergeCell ref="Z83:AB88"/>
    <mergeCell ref="AD83:AF88"/>
    <mergeCell ref="AN38:AN43"/>
    <mergeCell ref="AQ74:AS74"/>
    <mergeCell ref="AN115:AO115"/>
    <mergeCell ref="AQ115:AR115"/>
    <mergeCell ref="AK115:AL115"/>
    <mergeCell ref="Q115:R115"/>
    <mergeCell ref="T115:U115"/>
    <mergeCell ref="W115:X115"/>
    <mergeCell ref="B101:E106"/>
    <mergeCell ref="F101:H106"/>
    <mergeCell ref="I101:I106"/>
    <mergeCell ref="M101:O106"/>
    <mergeCell ref="P101:P106"/>
    <mergeCell ref="AC101:AC106"/>
    <mergeCell ref="AG101:AI106"/>
    <mergeCell ref="AJ101:AJ106"/>
    <mergeCell ref="AD101:AF106"/>
    <mergeCell ref="R101:S106"/>
    <mergeCell ref="T101:T106"/>
    <mergeCell ref="U101:V106"/>
    <mergeCell ref="W101:W106"/>
    <mergeCell ref="X101:Y106"/>
    <mergeCell ref="W107:W112"/>
    <mergeCell ref="AK101:AK106"/>
    <mergeCell ref="AL101:AM106"/>
    <mergeCell ref="AN101:AN106"/>
    <mergeCell ref="A50:A55"/>
    <mergeCell ref="A44:A49"/>
    <mergeCell ref="B89:E94"/>
    <mergeCell ref="F89:H94"/>
    <mergeCell ref="I89:I94"/>
    <mergeCell ref="M89:O94"/>
    <mergeCell ref="P89:P94"/>
    <mergeCell ref="AC89:AC94"/>
    <mergeCell ref="AG89:AI94"/>
    <mergeCell ref="U89:V94"/>
    <mergeCell ref="W89:W94"/>
    <mergeCell ref="X89:Y94"/>
    <mergeCell ref="AD89:AF94"/>
    <mergeCell ref="A83:A88"/>
    <mergeCell ref="A89:A94"/>
    <mergeCell ref="AD50:AF55"/>
    <mergeCell ref="AD56:AF61"/>
    <mergeCell ref="R56:S61"/>
    <mergeCell ref="W50:W55"/>
    <mergeCell ref="W56:W61"/>
    <mergeCell ref="T50:T55"/>
    <mergeCell ref="T56:T61"/>
    <mergeCell ref="Z50:AB55"/>
    <mergeCell ref="Z56:AB61"/>
    <mergeCell ref="J32:L37"/>
    <mergeCell ref="J38:L43"/>
    <mergeCell ref="A32:A37"/>
    <mergeCell ref="P32:P37"/>
    <mergeCell ref="B32:E37"/>
    <mergeCell ref="B38:E43"/>
    <mergeCell ref="B44:E49"/>
    <mergeCell ref="B50:E55"/>
    <mergeCell ref="B56:E61"/>
    <mergeCell ref="F32:H37"/>
    <mergeCell ref="F38:H43"/>
    <mergeCell ref="F44:H49"/>
    <mergeCell ref="F50:H55"/>
    <mergeCell ref="F56:H61"/>
    <mergeCell ref="I32:I37"/>
    <mergeCell ref="I38:I43"/>
    <mergeCell ref="I44:I49"/>
    <mergeCell ref="I50:I55"/>
    <mergeCell ref="I56:I61"/>
    <mergeCell ref="M32:O37"/>
    <mergeCell ref="M38:O43"/>
    <mergeCell ref="M44:O49"/>
    <mergeCell ref="M50:O55"/>
    <mergeCell ref="M56:O61"/>
    <mergeCell ref="AQ56:AQ61"/>
    <mergeCell ref="AO56:AP61"/>
    <mergeCell ref="AN56:AN61"/>
    <mergeCell ref="AL56:AM61"/>
    <mergeCell ref="AK56:AK61"/>
    <mergeCell ref="AR56:AS61"/>
    <mergeCell ref="AN44:AN49"/>
    <mergeCell ref="AO44:AP49"/>
    <mergeCell ref="AK74:AM74"/>
    <mergeCell ref="AN74:AP74"/>
    <mergeCell ref="AL44:AM49"/>
    <mergeCell ref="AK44:AK49"/>
    <mergeCell ref="AR50:AS55"/>
    <mergeCell ref="AQ50:AQ55"/>
    <mergeCell ref="AO50:AP55"/>
    <mergeCell ref="AN50:AN55"/>
    <mergeCell ref="AL50:AM55"/>
    <mergeCell ref="AK50:AK55"/>
    <mergeCell ref="AR44:AS49"/>
    <mergeCell ref="AK62:AK67"/>
    <mergeCell ref="AL62:AM67"/>
    <mergeCell ref="AN62:AN67"/>
    <mergeCell ref="AO62:AP67"/>
    <mergeCell ref="AQ62:AQ67"/>
    <mergeCell ref="AX1:AX2"/>
    <mergeCell ref="A2:AS2"/>
    <mergeCell ref="A28:A31"/>
    <mergeCell ref="Q29:S29"/>
    <mergeCell ref="T29:V29"/>
    <mergeCell ref="W29:Y29"/>
    <mergeCell ref="R30:S31"/>
    <mergeCell ref="U30:V31"/>
    <mergeCell ref="X30:Y31"/>
    <mergeCell ref="A1:AS1"/>
    <mergeCell ref="AT1:AT2"/>
    <mergeCell ref="AU1:AU2"/>
    <mergeCell ref="AV1:AV2"/>
    <mergeCell ref="C20:E21"/>
    <mergeCell ref="F20:F21"/>
    <mergeCell ref="G20:AG21"/>
    <mergeCell ref="C22:E23"/>
    <mergeCell ref="AW1:AW2"/>
    <mergeCell ref="X4:AA4"/>
    <mergeCell ref="B28:E31"/>
    <mergeCell ref="A18:B23"/>
    <mergeCell ref="C18:E19"/>
    <mergeCell ref="F22:F23"/>
    <mergeCell ref="G22:AG23"/>
    <mergeCell ref="A95:A100"/>
    <mergeCell ref="A101:A106"/>
    <mergeCell ref="A107:A112"/>
    <mergeCell ref="A79:A82"/>
    <mergeCell ref="U50:V55"/>
    <mergeCell ref="X50:Y55"/>
    <mergeCell ref="U56:V61"/>
    <mergeCell ref="X56:Y61"/>
    <mergeCell ref="Q74:S74"/>
    <mergeCell ref="T74:V74"/>
    <mergeCell ref="W74:Y74"/>
    <mergeCell ref="A56:A61"/>
    <mergeCell ref="I83:I88"/>
    <mergeCell ref="M83:O88"/>
    <mergeCell ref="P83:P88"/>
    <mergeCell ref="B95:E100"/>
    <mergeCell ref="F95:H100"/>
    <mergeCell ref="I95:I100"/>
    <mergeCell ref="M95:O100"/>
    <mergeCell ref="P95:P100"/>
    <mergeCell ref="F107:H112"/>
    <mergeCell ref="I107:I112"/>
    <mergeCell ref="B79:E82"/>
    <mergeCell ref="R50:S55"/>
    <mergeCell ref="A38:A43"/>
    <mergeCell ref="P56:P61"/>
    <mergeCell ref="P50:P55"/>
    <mergeCell ref="Z89:AB94"/>
    <mergeCell ref="Z95:AB100"/>
    <mergeCell ref="Z101:AB106"/>
    <mergeCell ref="Z107:AB112"/>
    <mergeCell ref="Q83:Q88"/>
    <mergeCell ref="R83:S88"/>
    <mergeCell ref="T83:T88"/>
    <mergeCell ref="U83:V88"/>
    <mergeCell ref="W83:W88"/>
    <mergeCell ref="X83:Y88"/>
    <mergeCell ref="Q95:Q100"/>
    <mergeCell ref="Z38:AB43"/>
    <mergeCell ref="R95:S100"/>
    <mergeCell ref="T95:T100"/>
    <mergeCell ref="U95:V100"/>
    <mergeCell ref="W95:W100"/>
    <mergeCell ref="X95:Y100"/>
    <mergeCell ref="R89:S94"/>
    <mergeCell ref="T89:T94"/>
    <mergeCell ref="B83:E88"/>
    <mergeCell ref="F83:H88"/>
    <mergeCell ref="Q32:Q37"/>
    <mergeCell ref="Q38:Q43"/>
    <mergeCell ref="Q44:Q49"/>
    <mergeCell ref="Q50:Q55"/>
    <mergeCell ref="Q56:Q61"/>
    <mergeCell ref="J89:L94"/>
    <mergeCell ref="J95:L100"/>
    <mergeCell ref="J101:L106"/>
    <mergeCell ref="J107:L112"/>
    <mergeCell ref="J83:L88"/>
    <mergeCell ref="P44:P49"/>
    <mergeCell ref="P38:P43"/>
    <mergeCell ref="Q89:Q94"/>
    <mergeCell ref="Q101:Q106"/>
    <mergeCell ref="J44:L49"/>
    <mergeCell ref="J50:L55"/>
    <mergeCell ref="J56:L61"/>
    <mergeCell ref="F79:Y79"/>
    <mergeCell ref="F80:H82"/>
    <mergeCell ref="I80:I82"/>
    <mergeCell ref="J80:L82"/>
    <mergeCell ref="M80:O82"/>
    <mergeCell ref="P80:P82"/>
    <mergeCell ref="M107:O112"/>
    <mergeCell ref="Z32:AB37"/>
    <mergeCell ref="AQ44:AQ49"/>
    <mergeCell ref="U32:V37"/>
    <mergeCell ref="X32:Y37"/>
    <mergeCell ref="U38:V43"/>
    <mergeCell ref="X38:Y43"/>
    <mergeCell ref="U44:V49"/>
    <mergeCell ref="X44:Y49"/>
    <mergeCell ref="R32:S37"/>
    <mergeCell ref="R38:S43"/>
    <mergeCell ref="R44:S49"/>
    <mergeCell ref="W32:W37"/>
    <mergeCell ref="W38:W43"/>
    <mergeCell ref="W44:W49"/>
    <mergeCell ref="T32:T37"/>
    <mergeCell ref="T38:T43"/>
    <mergeCell ref="T44:T49"/>
    <mergeCell ref="AD32:AF37"/>
    <mergeCell ref="AC32:AC37"/>
    <mergeCell ref="AD44:AF49"/>
    <mergeCell ref="Z44:AB49"/>
    <mergeCell ref="AD38:AF43"/>
    <mergeCell ref="AK38:AK43"/>
    <mergeCell ref="AL38:AM43"/>
    <mergeCell ref="AO38:AP43"/>
    <mergeCell ref="AQ38:AQ43"/>
    <mergeCell ref="AR38:AS43"/>
    <mergeCell ref="AK32:AK37"/>
    <mergeCell ref="AL32:AM37"/>
    <mergeCell ref="AN32:AN37"/>
    <mergeCell ref="AO32:AP37"/>
    <mergeCell ref="AQ32:AQ37"/>
    <mergeCell ref="AR32:AS37"/>
    <mergeCell ref="Q80:S80"/>
    <mergeCell ref="T80:V80"/>
    <mergeCell ref="W80:Y80"/>
    <mergeCell ref="AK80:AM80"/>
    <mergeCell ref="AN80:AP80"/>
    <mergeCell ref="AQ80:AS80"/>
    <mergeCell ref="R81:S82"/>
    <mergeCell ref="U81:V82"/>
    <mergeCell ref="X81:Y82"/>
    <mergeCell ref="AL81:AM82"/>
    <mergeCell ref="AO81:AP82"/>
    <mergeCell ref="AR81:AS82"/>
    <mergeCell ref="AG80:AI82"/>
    <mergeCell ref="AJ80:AJ82"/>
    <mergeCell ref="AK83:AK88"/>
    <mergeCell ref="AL83:AM88"/>
    <mergeCell ref="AN83:AN88"/>
    <mergeCell ref="AO83:AP88"/>
    <mergeCell ref="AQ83:AQ88"/>
    <mergeCell ref="AR83:AS88"/>
    <mergeCell ref="Z79:AS79"/>
    <mergeCell ref="Z80:AB82"/>
    <mergeCell ref="AC80:AC82"/>
    <mergeCell ref="AD80:AF82"/>
    <mergeCell ref="AJ89:AJ94"/>
    <mergeCell ref="AO101:AP106"/>
    <mergeCell ref="AQ101:AQ106"/>
    <mergeCell ref="AR101:AS106"/>
    <mergeCell ref="AD95:AF100"/>
    <mergeCell ref="AK95:AK100"/>
    <mergeCell ref="AL95:AM100"/>
    <mergeCell ref="AN95:AN100"/>
    <mergeCell ref="AO95:AP100"/>
    <mergeCell ref="AQ95:AQ100"/>
    <mergeCell ref="AR95:AS100"/>
    <mergeCell ref="AK89:AK94"/>
    <mergeCell ref="AL89:AM94"/>
    <mergeCell ref="AN89:AN94"/>
    <mergeCell ref="AO89:AP94"/>
    <mergeCell ref="AQ89:AQ94"/>
    <mergeCell ref="AR89:AS94"/>
    <mergeCell ref="AC107:AC112"/>
    <mergeCell ref="AG107:AI112"/>
    <mergeCell ref="AJ107:AJ112"/>
    <mergeCell ref="AO107:AP112"/>
    <mergeCell ref="AQ107:AQ112"/>
    <mergeCell ref="AR107:AS112"/>
    <mergeCell ref="X107:Y112"/>
    <mergeCell ref="AD107:AF112"/>
    <mergeCell ref="AK107:AK112"/>
    <mergeCell ref="AL107:AM112"/>
    <mergeCell ref="AN107:AN112"/>
  </mergeCells>
  <phoneticPr fontId="10" type="noConversion"/>
  <printOptions horizontalCentered="1" verticalCentered="1"/>
  <pageMargins left="0.36" right="0.17" top="0.32" bottom="0.3" header="0.3" footer="0.3"/>
  <pageSetup paperSize="8" scale="24"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799E-3E99-4291-9048-18BCC97AA4D7}">
  <sheetPr codeName="Sheet4"/>
  <dimension ref="B1:Y103"/>
  <sheetViews>
    <sheetView topLeftCell="A23" zoomScale="60" zoomScaleNormal="60" workbookViewId="0">
      <selection activeCell="I24" sqref="I24"/>
    </sheetView>
  </sheetViews>
  <sheetFormatPr defaultColWidth="9.26953125" defaultRowHeight="23.4"/>
  <cols>
    <col min="1" max="1" width="9.26953125" style="42"/>
    <col min="2" max="4" width="15.7265625" style="48" customWidth="1"/>
    <col min="5" max="6" width="2.81640625" style="46" customWidth="1"/>
    <col min="7" max="9" width="20.7265625" style="48" customWidth="1"/>
    <col min="10" max="13" width="15.7265625" style="79" customWidth="1"/>
    <col min="14" max="14" width="59.08984375" style="42" customWidth="1"/>
    <col min="15" max="15" width="15.7265625" style="148" customWidth="1"/>
    <col min="16" max="21" width="35.7265625" style="148" customWidth="1"/>
    <col min="22" max="22" width="15.7265625" style="148" customWidth="1"/>
    <col min="23" max="26" width="50.7265625" style="42" customWidth="1"/>
    <col min="27" max="16384" width="9.26953125" style="42"/>
  </cols>
  <sheetData>
    <row r="1" spans="2:25" ht="25.95" customHeight="1">
      <c r="G1" s="86">
        <v>1</v>
      </c>
      <c r="H1" s="86">
        <v>2</v>
      </c>
      <c r="I1" s="86">
        <v>3</v>
      </c>
      <c r="J1" s="87">
        <v>4</v>
      </c>
      <c r="K1" s="87">
        <v>5</v>
      </c>
      <c r="L1" s="87">
        <v>6</v>
      </c>
      <c r="M1" s="87">
        <v>7</v>
      </c>
      <c r="N1" s="144">
        <v>8</v>
      </c>
    </row>
    <row r="2" spans="2:25" ht="18">
      <c r="B2" s="48">
        <v>1</v>
      </c>
      <c r="C2" s="48">
        <v>2</v>
      </c>
      <c r="D2" s="48">
        <v>3</v>
      </c>
      <c r="E2" s="48">
        <v>4</v>
      </c>
      <c r="F2" s="48">
        <v>5</v>
      </c>
      <c r="G2" s="48">
        <v>6</v>
      </c>
      <c r="H2" s="48">
        <v>7</v>
      </c>
      <c r="I2" s="48">
        <v>8</v>
      </c>
      <c r="J2" s="48">
        <v>9</v>
      </c>
      <c r="K2" s="48">
        <v>10</v>
      </c>
      <c r="L2" s="48">
        <v>11</v>
      </c>
      <c r="M2" s="48">
        <v>12</v>
      </c>
      <c r="N2" s="145">
        <v>13</v>
      </c>
      <c r="O2" s="149">
        <v>14</v>
      </c>
      <c r="P2" s="149">
        <v>15</v>
      </c>
      <c r="Q2" s="149">
        <v>16</v>
      </c>
      <c r="R2" s="149">
        <v>17</v>
      </c>
      <c r="S2" s="149">
        <v>18</v>
      </c>
      <c r="T2" s="149">
        <v>19</v>
      </c>
      <c r="U2" s="149">
        <v>20</v>
      </c>
      <c r="V2" s="149">
        <v>21</v>
      </c>
      <c r="W2" s="48">
        <v>22</v>
      </c>
      <c r="X2" s="48">
        <v>23</v>
      </c>
      <c r="Y2" s="48">
        <v>24</v>
      </c>
    </row>
    <row r="4" spans="2:25" ht="17.399999999999999">
      <c r="B4" s="800" t="s">
        <v>185</v>
      </c>
      <c r="C4" s="800" t="s">
        <v>420</v>
      </c>
      <c r="D4" s="800" t="s">
        <v>421</v>
      </c>
      <c r="E4" s="803"/>
      <c r="F4" s="803"/>
      <c r="G4" s="804" t="s">
        <v>185</v>
      </c>
      <c r="H4" s="804" t="s">
        <v>420</v>
      </c>
      <c r="I4" s="804" t="s">
        <v>421</v>
      </c>
      <c r="J4" s="807" t="s">
        <v>473</v>
      </c>
      <c r="K4" s="807" t="s">
        <v>470</v>
      </c>
      <c r="L4" s="807" t="s">
        <v>471</v>
      </c>
      <c r="M4" s="807" t="s">
        <v>472</v>
      </c>
      <c r="N4" s="806" t="s">
        <v>453</v>
      </c>
      <c r="O4" s="805" t="s">
        <v>17</v>
      </c>
      <c r="P4" s="811" t="s">
        <v>23</v>
      </c>
      <c r="Q4" s="815"/>
      <c r="R4" s="815"/>
      <c r="S4" s="815"/>
      <c r="T4" s="815"/>
      <c r="U4" s="815"/>
      <c r="V4" s="815"/>
      <c r="W4" s="816" t="s">
        <v>38</v>
      </c>
      <c r="X4" s="812" t="s">
        <v>39</v>
      </c>
      <c r="Y4" s="808" t="s">
        <v>39</v>
      </c>
    </row>
    <row r="5" spans="2:25" ht="17.399999999999999">
      <c r="B5" s="801"/>
      <c r="C5" s="801"/>
      <c r="D5" s="801"/>
      <c r="E5" s="803"/>
      <c r="F5" s="803"/>
      <c r="G5" s="804"/>
      <c r="H5" s="804"/>
      <c r="I5" s="804"/>
      <c r="J5" s="807"/>
      <c r="K5" s="807"/>
      <c r="L5" s="807"/>
      <c r="M5" s="807"/>
      <c r="N5" s="806"/>
      <c r="O5" s="805"/>
      <c r="P5" s="811"/>
      <c r="Q5" s="150" t="s">
        <v>150</v>
      </c>
      <c r="R5" s="819" t="s">
        <v>24</v>
      </c>
      <c r="S5" s="819"/>
      <c r="T5" s="819"/>
      <c r="U5" s="819"/>
      <c r="V5" s="150" t="s">
        <v>25</v>
      </c>
      <c r="W5" s="817"/>
      <c r="X5" s="813"/>
      <c r="Y5" s="809"/>
    </row>
    <row r="6" spans="2:25" ht="17.399999999999999">
      <c r="B6" s="802"/>
      <c r="C6" s="802"/>
      <c r="D6" s="802"/>
      <c r="E6" s="803"/>
      <c r="F6" s="803"/>
      <c r="G6" s="804"/>
      <c r="H6" s="804"/>
      <c r="I6" s="804"/>
      <c r="J6" s="807"/>
      <c r="K6" s="807"/>
      <c r="L6" s="807"/>
      <c r="M6" s="807"/>
      <c r="N6" s="806"/>
      <c r="O6" s="805"/>
      <c r="P6" s="811"/>
      <c r="Q6" s="150" t="s">
        <v>26</v>
      </c>
      <c r="R6" s="150" t="s">
        <v>27</v>
      </c>
      <c r="S6" s="150" t="s">
        <v>28</v>
      </c>
      <c r="T6" s="150" t="s">
        <v>29</v>
      </c>
      <c r="U6" s="150" t="s">
        <v>30</v>
      </c>
      <c r="V6" s="150" t="s">
        <v>53</v>
      </c>
      <c r="W6" s="818"/>
      <c r="X6" s="814"/>
      <c r="Y6" s="810"/>
    </row>
    <row r="7" spans="2:25" ht="195">
      <c r="B7" s="81" t="s">
        <v>18</v>
      </c>
      <c r="C7" s="81" t="s">
        <v>422</v>
      </c>
      <c r="D7" s="81" t="s">
        <v>19</v>
      </c>
      <c r="E7" s="82" t="s">
        <v>452</v>
      </c>
      <c r="F7" s="82" t="s">
        <v>358</v>
      </c>
      <c r="G7" s="19" t="str">
        <f t="shared" ref="G7:G43" si="0">B7&amp;E7</f>
        <v>M1E</v>
      </c>
      <c r="H7" s="19" t="s">
        <v>422</v>
      </c>
      <c r="I7" s="19" t="str">
        <f t="shared" ref="I7:I43" si="1">D7&amp;E7</f>
        <v>M2E</v>
      </c>
      <c r="J7" s="80">
        <v>70</v>
      </c>
      <c r="K7" s="84">
        <v>70</v>
      </c>
      <c r="L7" s="84">
        <v>30</v>
      </c>
      <c r="M7" s="80">
        <v>30</v>
      </c>
      <c r="N7" s="78" t="s">
        <v>151</v>
      </c>
      <c r="O7" s="155" t="s">
        <v>55</v>
      </c>
      <c r="P7" s="151" t="s">
        <v>40</v>
      </c>
      <c r="Q7" s="151" t="s">
        <v>54</v>
      </c>
      <c r="R7" s="151" t="s">
        <v>57</v>
      </c>
      <c r="S7" s="151" t="s">
        <v>58</v>
      </c>
      <c r="T7" s="151" t="s">
        <v>59</v>
      </c>
      <c r="U7" s="151" t="s">
        <v>60</v>
      </c>
      <c r="V7" s="151" t="s">
        <v>61</v>
      </c>
      <c r="W7" s="1" t="str">
        <f>Q7&amp;R7&amp;S7&amp;T7&amp;U7&amp;V7</f>
        <v xml:space="preserve">Co-develops mid to long-term (3-5 years) strategy and manages divisions for achieving the company’s goals
Significantly improves or adapts existing processes/systems/products that impact to divisions
Solves multi-dimensional business issues with authority to manage operational resources, human resources and financial resources over divisions
Convinces internal and external parties who might have divergent view to accept company’s policy
Coaches Division managers and　 grooms successors
Has broad and substantive management knowledge across several divisions and skills for managing managers
</v>
      </c>
      <c r="X7" s="2" t="s">
        <v>151</v>
      </c>
      <c r="Y7" s="75" t="s">
        <v>454</v>
      </c>
    </row>
    <row r="8" spans="2:25" ht="195">
      <c r="B8" s="81" t="s">
        <v>19</v>
      </c>
      <c r="C8" s="81" t="s">
        <v>18</v>
      </c>
      <c r="D8" s="81" t="s">
        <v>20</v>
      </c>
      <c r="E8" s="82" t="s">
        <v>452</v>
      </c>
      <c r="F8" s="82" t="s">
        <v>358</v>
      </c>
      <c r="G8" s="19" t="str">
        <f t="shared" si="0"/>
        <v>M2E</v>
      </c>
      <c r="H8" s="19" t="str">
        <f t="shared" ref="H8:H43" si="2">C8&amp;E8</f>
        <v>M1E</v>
      </c>
      <c r="I8" s="19" t="str">
        <f t="shared" si="1"/>
        <v>M3E</v>
      </c>
      <c r="J8" s="80">
        <v>60</v>
      </c>
      <c r="K8" s="84">
        <v>70</v>
      </c>
      <c r="L8" s="84">
        <v>30</v>
      </c>
      <c r="M8" s="80">
        <v>40</v>
      </c>
      <c r="N8" s="78" t="s">
        <v>152</v>
      </c>
      <c r="O8" s="155" t="s">
        <v>56</v>
      </c>
      <c r="P8" s="151" t="s">
        <v>40</v>
      </c>
      <c r="Q8" s="151" t="s">
        <v>62</v>
      </c>
      <c r="R8" s="151" t="s">
        <v>63</v>
      </c>
      <c r="S8" s="151" t="s">
        <v>64</v>
      </c>
      <c r="T8" s="151" t="s">
        <v>65</v>
      </c>
      <c r="U8" s="151" t="s">
        <v>66</v>
      </c>
      <c r="V8" s="151" t="s">
        <v>67</v>
      </c>
      <c r="W8" s="1" t="str">
        <f>Q8&amp;R8&amp;S8&amp;T8&amp;U8&amp;V8</f>
        <v xml:space="preserve">Develops short to mid-term (1-3 years) strategy and manages the division for achieving the division’s goals
Significantly improves or adapts existing processes/systems/products that impact to the division
Solves complex business issues with authority to manage operational resources and limited human or financial resources over the division
Convinces internal and external parties who might have divergent view to accept division’s policy
Coaches Senior managers and grooms successors
Has broad knowledge of all job areas within the division and skills for managing managers
</v>
      </c>
      <c r="X8" s="2" t="s">
        <v>152</v>
      </c>
      <c r="Y8" s="75" t="s">
        <v>455</v>
      </c>
    </row>
    <row r="9" spans="2:25" ht="210">
      <c r="B9" s="81" t="s">
        <v>81</v>
      </c>
      <c r="C9" s="81" t="s">
        <v>18</v>
      </c>
      <c r="D9" s="81" t="s">
        <v>91</v>
      </c>
      <c r="E9" s="82" t="s">
        <v>452</v>
      </c>
      <c r="F9" s="82" t="s">
        <v>358</v>
      </c>
      <c r="G9" s="19" t="str">
        <f t="shared" si="0"/>
        <v>E2E</v>
      </c>
      <c r="H9" s="19" t="str">
        <f t="shared" si="2"/>
        <v>M1E</v>
      </c>
      <c r="I9" s="19" t="str">
        <f t="shared" si="1"/>
        <v>E3E</v>
      </c>
      <c r="J9" s="80">
        <v>60</v>
      </c>
      <c r="K9" s="84">
        <v>70</v>
      </c>
      <c r="L9" s="84">
        <v>30</v>
      </c>
      <c r="M9" s="80">
        <v>40</v>
      </c>
      <c r="N9" s="78" t="s">
        <v>153</v>
      </c>
      <c r="O9" s="155" t="s">
        <v>51</v>
      </c>
      <c r="P9" s="151" t="s">
        <v>82</v>
      </c>
      <c r="Q9" s="151" t="s">
        <v>83</v>
      </c>
      <c r="R9" s="151" t="s">
        <v>84</v>
      </c>
      <c r="S9" s="151" t="s">
        <v>85</v>
      </c>
      <c r="T9" s="151" t="s">
        <v>86</v>
      </c>
      <c r="U9" s="151" t="s">
        <v>87</v>
      </c>
      <c r="V9" s="151" t="s">
        <v>88</v>
      </c>
      <c r="W9" s="1" t="str">
        <f t="shared" ref="W9:W27" si="3">Q9&amp;R9&amp;S9&amp;T9&amp;U9&amp;V9</f>
        <v xml:space="preserve">Manages large initiatives that create significant value to entire company’s operation for achieving critical initiative’s goals
Enhances existing processes/systems/products for level up company performance
Solves  business issues with some authorities to manage  operational resources and limited human or financial resources related the initiatives
Convinces internal and external parties who might have divergent view to accept the initiative policy
Coaches and shares knowledge with others
Has advanced and well-developed job knowledge for assigned project operating and skills for managing team members 
</v>
      </c>
      <c r="X9" s="2" t="s">
        <v>153</v>
      </c>
      <c r="Y9" s="75" t="s">
        <v>456</v>
      </c>
    </row>
    <row r="10" spans="2:25" ht="210">
      <c r="B10" s="81" t="s">
        <v>89</v>
      </c>
      <c r="C10" s="81" t="s">
        <v>18</v>
      </c>
      <c r="D10" s="81" t="s">
        <v>97</v>
      </c>
      <c r="E10" s="82" t="s">
        <v>452</v>
      </c>
      <c r="F10" s="82" t="s">
        <v>358</v>
      </c>
      <c r="G10" s="19" t="str">
        <f t="shared" si="0"/>
        <v>S2E</v>
      </c>
      <c r="H10" s="19" t="str">
        <f t="shared" si="2"/>
        <v>M1E</v>
      </c>
      <c r="I10" s="19" t="str">
        <f t="shared" si="1"/>
        <v>S3E</v>
      </c>
      <c r="J10" s="80">
        <v>60</v>
      </c>
      <c r="K10" s="84">
        <v>70</v>
      </c>
      <c r="L10" s="84">
        <v>30</v>
      </c>
      <c r="M10" s="80">
        <v>40</v>
      </c>
      <c r="N10" s="78" t="s">
        <v>153</v>
      </c>
      <c r="O10" s="155" t="s">
        <v>51</v>
      </c>
      <c r="P10" s="151" t="s">
        <v>82</v>
      </c>
      <c r="Q10" s="151" t="s">
        <v>83</v>
      </c>
      <c r="R10" s="151" t="s">
        <v>84</v>
      </c>
      <c r="S10" s="151" t="s">
        <v>85</v>
      </c>
      <c r="T10" s="151" t="s">
        <v>86</v>
      </c>
      <c r="U10" s="151" t="s">
        <v>87</v>
      </c>
      <c r="V10" s="151" t="s">
        <v>88</v>
      </c>
      <c r="W10" s="1" t="str">
        <f t="shared" si="3"/>
        <v xml:space="preserve">Manages large initiatives that create significant value to entire company’s operation for achieving critical initiative’s goals
Enhances existing processes/systems/products for level up company performance
Solves  business issues with some authorities to manage  operational resources and limited human or financial resources related the initiatives
Convinces internal and external parties who might have divergent view to accept the initiative policy
Coaches and shares knowledge with others
Has advanced and well-developed job knowledge for assigned project operating and skills for managing team members 
</v>
      </c>
      <c r="X10" s="2" t="s">
        <v>153</v>
      </c>
      <c r="Y10" s="75" t="s">
        <v>456</v>
      </c>
    </row>
    <row r="11" spans="2:25" ht="210">
      <c r="B11" s="81" t="s">
        <v>90</v>
      </c>
      <c r="C11" s="81" t="s">
        <v>18</v>
      </c>
      <c r="D11" s="81" t="s">
        <v>98</v>
      </c>
      <c r="E11" s="82" t="s">
        <v>452</v>
      </c>
      <c r="F11" s="82" t="s">
        <v>358</v>
      </c>
      <c r="G11" s="19" t="str">
        <f t="shared" si="0"/>
        <v>G2E</v>
      </c>
      <c r="H11" s="19" t="str">
        <f t="shared" si="2"/>
        <v>M1E</v>
      </c>
      <c r="I11" s="19" t="str">
        <f t="shared" si="1"/>
        <v>G3E</v>
      </c>
      <c r="J11" s="80">
        <v>60</v>
      </c>
      <c r="K11" s="84">
        <v>70</v>
      </c>
      <c r="L11" s="84">
        <v>30</v>
      </c>
      <c r="M11" s="80">
        <v>40</v>
      </c>
      <c r="N11" s="78" t="s">
        <v>153</v>
      </c>
      <c r="O11" s="155" t="s">
        <v>51</v>
      </c>
      <c r="P11" s="151" t="s">
        <v>82</v>
      </c>
      <c r="Q11" s="151" t="s">
        <v>83</v>
      </c>
      <c r="R11" s="151" t="s">
        <v>84</v>
      </c>
      <c r="S11" s="151" t="s">
        <v>85</v>
      </c>
      <c r="T11" s="151" t="s">
        <v>86</v>
      </c>
      <c r="U11" s="151" t="s">
        <v>87</v>
      </c>
      <c r="V11" s="151" t="s">
        <v>88</v>
      </c>
      <c r="W11" s="1" t="str">
        <f t="shared" si="3"/>
        <v xml:space="preserve">Manages large initiatives that create significant value to entire company’s operation for achieving critical initiative’s goals
Enhances existing processes/systems/products for level up company performance
Solves  business issues with some authorities to manage  operational resources and limited human or financial resources related the initiatives
Convinces internal and external parties who might have divergent view to accept the initiative policy
Coaches and shares knowledge with others
Has advanced and well-developed job knowledge for assigned project operating and skills for managing team members 
</v>
      </c>
      <c r="X11" s="2" t="s">
        <v>153</v>
      </c>
      <c r="Y11" s="75" t="s">
        <v>456</v>
      </c>
    </row>
    <row r="12" spans="2:25" ht="231" customHeight="1">
      <c r="B12" s="81" t="s">
        <v>20</v>
      </c>
      <c r="C12" s="81" t="s">
        <v>19</v>
      </c>
      <c r="D12" s="81" t="s">
        <v>21</v>
      </c>
      <c r="E12" s="82" t="s">
        <v>452</v>
      </c>
      <c r="F12" s="82" t="s">
        <v>358</v>
      </c>
      <c r="G12" s="19" t="str">
        <f t="shared" si="0"/>
        <v>M3E</v>
      </c>
      <c r="H12" s="19" t="str">
        <f t="shared" si="2"/>
        <v>M2E</v>
      </c>
      <c r="I12" s="19" t="str">
        <f t="shared" si="1"/>
        <v>M4E</v>
      </c>
      <c r="J12" s="80">
        <v>50</v>
      </c>
      <c r="K12" s="84">
        <v>70</v>
      </c>
      <c r="L12" s="84">
        <v>30</v>
      </c>
      <c r="M12" s="80">
        <v>50</v>
      </c>
      <c r="N12" s="78" t="s">
        <v>154</v>
      </c>
      <c r="O12" s="155" t="s">
        <v>68</v>
      </c>
      <c r="P12" s="151" t="s">
        <v>40</v>
      </c>
      <c r="Q12" s="151" t="s">
        <v>69</v>
      </c>
      <c r="R12" s="151" t="s">
        <v>70</v>
      </c>
      <c r="S12" s="151" t="s">
        <v>71</v>
      </c>
      <c r="T12" s="151" t="s">
        <v>72</v>
      </c>
      <c r="U12" s="151" t="s">
        <v>73</v>
      </c>
      <c r="V12" s="151" t="s">
        <v>74</v>
      </c>
      <c r="W12" s="1" t="str">
        <f t="shared" si="3"/>
        <v xml:space="preserve">Develops short-term plan (1 year) and manages departments / factory for achieving departments / factory’s goals
Significantly improves or adapts existing processes/systems/products for level up departments / factory performance
Solves complex business issues with authority to manage operational resources and limited human or financial resources over departments / factory
Convinces internal and external parties who are unwilling to accept departments / factory’s policy
Coaches  Manager and grooms successors
Has deep and broad knowledge for departments / factory and skills for managing managers
</v>
      </c>
      <c r="X12" s="72" t="s">
        <v>154</v>
      </c>
      <c r="Y12" s="76" t="s">
        <v>457</v>
      </c>
    </row>
    <row r="13" spans="2:25" ht="195">
      <c r="B13" s="81" t="s">
        <v>91</v>
      </c>
      <c r="C13" s="81" t="s">
        <v>81</v>
      </c>
      <c r="D13" s="81" t="s">
        <v>99</v>
      </c>
      <c r="E13" s="82" t="s">
        <v>452</v>
      </c>
      <c r="F13" s="82" t="s">
        <v>358</v>
      </c>
      <c r="G13" s="19" t="str">
        <f t="shared" si="0"/>
        <v>E3E</v>
      </c>
      <c r="H13" s="19" t="str">
        <f t="shared" si="2"/>
        <v>E2E</v>
      </c>
      <c r="I13" s="19" t="str">
        <f t="shared" si="1"/>
        <v>E4E</v>
      </c>
      <c r="J13" s="80">
        <v>50</v>
      </c>
      <c r="K13" s="84">
        <v>70</v>
      </c>
      <c r="L13" s="84">
        <v>30</v>
      </c>
      <c r="M13" s="80">
        <v>50</v>
      </c>
      <c r="N13" s="78" t="s">
        <v>155</v>
      </c>
      <c r="O13" s="155" t="s">
        <v>92</v>
      </c>
      <c r="P13" s="151" t="s">
        <v>82</v>
      </c>
      <c r="Q13" s="151" t="s">
        <v>93</v>
      </c>
      <c r="R13" s="151" t="s">
        <v>94</v>
      </c>
      <c r="S13" s="151" t="s">
        <v>85</v>
      </c>
      <c r="T13" s="151" t="s">
        <v>95</v>
      </c>
      <c r="U13" s="151" t="s">
        <v>87</v>
      </c>
      <c r="V13" s="151" t="s">
        <v>96</v>
      </c>
      <c r="W13" s="1" t="str">
        <f t="shared" si="3"/>
        <v xml:space="preserve">Manages large initiatives that create significant value to the division for achieving initiative’s goals
Enhances existing processes/systems/products for level up division performance
Solves  business issues with some authorities to manage  operational resources and limited human or financial resources related the initiatives
Convinces internal and external parties who are unwilling to accept the initiative policy
Coaches and shares knowledge with others
Has board and well-developed job knowledge for assigned project operating and skills for managing team members
</v>
      </c>
      <c r="X13" s="2" t="s">
        <v>155</v>
      </c>
      <c r="Y13" s="75" t="s">
        <v>458</v>
      </c>
    </row>
    <row r="14" spans="2:25" ht="195">
      <c r="B14" s="81" t="s">
        <v>97</v>
      </c>
      <c r="C14" s="81" t="s">
        <v>89</v>
      </c>
      <c r="D14" s="81" t="s">
        <v>103</v>
      </c>
      <c r="E14" s="82" t="s">
        <v>452</v>
      </c>
      <c r="F14" s="82" t="s">
        <v>358</v>
      </c>
      <c r="G14" s="19" t="str">
        <f t="shared" si="0"/>
        <v>S3E</v>
      </c>
      <c r="H14" s="19" t="str">
        <f t="shared" si="2"/>
        <v>S2E</v>
      </c>
      <c r="I14" s="19" t="str">
        <f t="shared" si="1"/>
        <v>S4E</v>
      </c>
      <c r="J14" s="80">
        <v>50</v>
      </c>
      <c r="K14" s="84">
        <v>70</v>
      </c>
      <c r="L14" s="84">
        <v>30</v>
      </c>
      <c r="M14" s="80">
        <v>50</v>
      </c>
      <c r="N14" s="78" t="s">
        <v>155</v>
      </c>
      <c r="O14" s="155" t="s">
        <v>92</v>
      </c>
      <c r="P14" s="151" t="s">
        <v>82</v>
      </c>
      <c r="Q14" s="151" t="s">
        <v>93</v>
      </c>
      <c r="R14" s="151" t="s">
        <v>94</v>
      </c>
      <c r="S14" s="151" t="s">
        <v>85</v>
      </c>
      <c r="T14" s="151" t="s">
        <v>95</v>
      </c>
      <c r="U14" s="151" t="s">
        <v>87</v>
      </c>
      <c r="V14" s="151" t="s">
        <v>96</v>
      </c>
      <c r="W14" s="1" t="str">
        <f t="shared" si="3"/>
        <v xml:space="preserve">Manages large initiatives that create significant value to the division for achieving initiative’s goals
Enhances existing processes/systems/products for level up division performance
Solves  business issues with some authorities to manage  operational resources and limited human or financial resources related the initiatives
Convinces internal and external parties who are unwilling to accept the initiative policy
Coaches and shares knowledge with others
Has board and well-developed job knowledge for assigned project operating and skills for managing team members
</v>
      </c>
      <c r="X14" s="2" t="s">
        <v>155</v>
      </c>
      <c r="Y14" s="75" t="s">
        <v>458</v>
      </c>
    </row>
    <row r="15" spans="2:25" ht="195">
      <c r="B15" s="81" t="s">
        <v>98</v>
      </c>
      <c r="C15" s="81" t="s">
        <v>90</v>
      </c>
      <c r="D15" s="81" t="s">
        <v>104</v>
      </c>
      <c r="E15" s="82" t="s">
        <v>452</v>
      </c>
      <c r="F15" s="82" t="s">
        <v>358</v>
      </c>
      <c r="G15" s="19" t="str">
        <f t="shared" si="0"/>
        <v>G3E</v>
      </c>
      <c r="H15" s="19" t="str">
        <f t="shared" si="2"/>
        <v>G2E</v>
      </c>
      <c r="I15" s="19" t="str">
        <f t="shared" si="1"/>
        <v>G4E</v>
      </c>
      <c r="J15" s="80">
        <v>50</v>
      </c>
      <c r="K15" s="84">
        <v>70</v>
      </c>
      <c r="L15" s="84">
        <v>30</v>
      </c>
      <c r="M15" s="80">
        <v>50</v>
      </c>
      <c r="N15" s="78" t="s">
        <v>155</v>
      </c>
      <c r="O15" s="155" t="s">
        <v>92</v>
      </c>
      <c r="P15" s="151" t="s">
        <v>82</v>
      </c>
      <c r="Q15" s="151" t="s">
        <v>93</v>
      </c>
      <c r="R15" s="151" t="s">
        <v>94</v>
      </c>
      <c r="S15" s="151" t="s">
        <v>85</v>
      </c>
      <c r="T15" s="151" t="s">
        <v>95</v>
      </c>
      <c r="U15" s="151" t="s">
        <v>87</v>
      </c>
      <c r="V15" s="151" t="s">
        <v>96</v>
      </c>
      <c r="W15" s="1" t="str">
        <f t="shared" si="3"/>
        <v xml:space="preserve">Manages large initiatives that create significant value to the division for achieving initiative’s goals
Enhances existing processes/systems/products for level up division performance
Solves  business issues with some authorities to manage  operational resources and limited human or financial resources related the initiatives
Convinces internal and external parties who are unwilling to accept the initiative policy
Coaches and shares knowledge with others
Has board and well-developed job knowledge for assigned project operating and skills for managing team members
</v>
      </c>
      <c r="X15" s="2" t="s">
        <v>155</v>
      </c>
      <c r="Y15" s="75" t="s">
        <v>458</v>
      </c>
    </row>
    <row r="16" spans="2:25" ht="195">
      <c r="B16" s="81" t="s">
        <v>21</v>
      </c>
      <c r="C16" s="81" t="s">
        <v>20</v>
      </c>
      <c r="D16" s="81" t="s">
        <v>22</v>
      </c>
      <c r="E16" s="82" t="s">
        <v>452</v>
      </c>
      <c r="F16" s="82" t="s">
        <v>358</v>
      </c>
      <c r="G16" s="19" t="str">
        <f t="shared" si="0"/>
        <v>M4E</v>
      </c>
      <c r="H16" s="19" t="str">
        <f t="shared" si="2"/>
        <v>M3E</v>
      </c>
      <c r="I16" s="19" t="str">
        <f t="shared" si="1"/>
        <v>M5E</v>
      </c>
      <c r="J16" s="80">
        <v>50</v>
      </c>
      <c r="K16" s="84">
        <v>70</v>
      </c>
      <c r="L16" s="84">
        <v>30</v>
      </c>
      <c r="M16" s="80">
        <v>50</v>
      </c>
      <c r="N16" s="78" t="s">
        <v>271</v>
      </c>
      <c r="O16" s="155" t="s">
        <v>52</v>
      </c>
      <c r="P16" s="151" t="s">
        <v>40</v>
      </c>
      <c r="Q16" s="151" t="s">
        <v>75</v>
      </c>
      <c r="R16" s="151" t="s">
        <v>76</v>
      </c>
      <c r="S16" s="151" t="s">
        <v>77</v>
      </c>
      <c r="T16" s="151" t="s">
        <v>78</v>
      </c>
      <c r="U16" s="151" t="s">
        <v>79</v>
      </c>
      <c r="V16" s="151" t="s">
        <v>80</v>
      </c>
      <c r="W16" s="1" t="str">
        <f t="shared" si="3"/>
        <v xml:space="preserve">Develops action plan (1 year) and manages the department for achieving department’s goals
Enhances existing processes/systems/products for level up department performance
Solves business issues with some authorities to manage operational resources and limited human or financial resources in own department
Convinces internal and external parties who are unwilling to accept department’s policy
Coaches Assistant Managers and grooms successors
Has deep and broad knowledge for department and skills for managing managers
</v>
      </c>
      <c r="X16" s="2" t="s">
        <v>271</v>
      </c>
      <c r="Y16" s="75" t="s">
        <v>459</v>
      </c>
    </row>
    <row r="17" spans="2:25" ht="210">
      <c r="B17" s="81" t="s">
        <v>99</v>
      </c>
      <c r="C17" s="81" t="s">
        <v>91</v>
      </c>
      <c r="D17" s="81" t="s">
        <v>37</v>
      </c>
      <c r="E17" s="82" t="s">
        <v>452</v>
      </c>
      <c r="F17" s="82" t="s">
        <v>358</v>
      </c>
      <c r="G17" s="19" t="str">
        <f t="shared" si="0"/>
        <v>E4E</v>
      </c>
      <c r="H17" s="19" t="str">
        <f t="shared" si="2"/>
        <v>E3E</v>
      </c>
      <c r="I17" s="19" t="str">
        <f t="shared" si="1"/>
        <v>E5E</v>
      </c>
      <c r="J17" s="80">
        <v>50</v>
      </c>
      <c r="K17" s="84">
        <v>70</v>
      </c>
      <c r="L17" s="84">
        <v>30</v>
      </c>
      <c r="M17" s="80">
        <v>50</v>
      </c>
      <c r="N17" s="78" t="s">
        <v>156</v>
      </c>
      <c r="O17" s="155" t="s">
        <v>82</v>
      </c>
      <c r="P17" s="151" t="s">
        <v>82</v>
      </c>
      <c r="Q17" s="151" t="s">
        <v>100</v>
      </c>
      <c r="R17" s="151" t="s">
        <v>101</v>
      </c>
      <c r="S17" s="151" t="s">
        <v>85</v>
      </c>
      <c r="T17" s="151" t="s">
        <v>95</v>
      </c>
      <c r="U17" s="151" t="s">
        <v>87</v>
      </c>
      <c r="V17" s="151" t="s">
        <v>102</v>
      </c>
      <c r="W17" s="1" t="str">
        <f t="shared" si="3"/>
        <v xml:space="preserve">Manages initiatives that create significant value to the departments / factory for achieving initiative’s goals
Enhances existing processes/systems/products for level up departments / factory performance
Solves  business issues with some authorities to manage  operational resources and limited human or financial resources related the initiatives
Convinces internal and external parties who are unwilling to accept the initiative policy
Coaches and shares knowledge with others
Has well-developed job knowledge for assigned project operating and skills for managing team members
</v>
      </c>
      <c r="X17" s="2" t="s">
        <v>156</v>
      </c>
      <c r="Y17" s="75" t="s">
        <v>460</v>
      </c>
    </row>
    <row r="18" spans="2:25" ht="210">
      <c r="B18" s="81" t="s">
        <v>103</v>
      </c>
      <c r="C18" s="81" t="s">
        <v>97</v>
      </c>
      <c r="D18" s="81" t="s">
        <v>106</v>
      </c>
      <c r="E18" s="82" t="s">
        <v>452</v>
      </c>
      <c r="F18" s="82" t="s">
        <v>358</v>
      </c>
      <c r="G18" s="19" t="str">
        <f t="shared" si="0"/>
        <v>S4E</v>
      </c>
      <c r="H18" s="19" t="str">
        <f t="shared" si="2"/>
        <v>S3E</v>
      </c>
      <c r="I18" s="19" t="str">
        <f t="shared" si="1"/>
        <v>S5E</v>
      </c>
      <c r="J18" s="80">
        <v>50</v>
      </c>
      <c r="K18" s="84">
        <v>70</v>
      </c>
      <c r="L18" s="84">
        <v>30</v>
      </c>
      <c r="M18" s="80">
        <v>50</v>
      </c>
      <c r="N18" s="78" t="s">
        <v>156</v>
      </c>
      <c r="O18" s="155" t="s">
        <v>82</v>
      </c>
      <c r="P18" s="151" t="s">
        <v>82</v>
      </c>
      <c r="Q18" s="151" t="s">
        <v>100</v>
      </c>
      <c r="R18" s="151" t="s">
        <v>101</v>
      </c>
      <c r="S18" s="151" t="s">
        <v>85</v>
      </c>
      <c r="T18" s="151" t="s">
        <v>95</v>
      </c>
      <c r="U18" s="151" t="s">
        <v>87</v>
      </c>
      <c r="V18" s="151" t="s">
        <v>102</v>
      </c>
      <c r="W18" s="1" t="str">
        <f t="shared" si="3"/>
        <v xml:space="preserve">Manages initiatives that create significant value to the departments / factory for achieving initiative’s goals
Enhances existing processes/systems/products for level up departments / factory performance
Solves  business issues with some authorities to manage  operational resources and limited human or financial resources related the initiatives
Convinces internal and external parties who are unwilling to accept the initiative policy
Coaches and shares knowledge with others
Has well-developed job knowledge for assigned project operating and skills for managing team members
</v>
      </c>
      <c r="X18" s="2" t="s">
        <v>156</v>
      </c>
      <c r="Y18" s="75" t="s">
        <v>460</v>
      </c>
    </row>
    <row r="19" spans="2:25" ht="210">
      <c r="B19" s="81" t="s">
        <v>104</v>
      </c>
      <c r="C19" s="81" t="s">
        <v>98</v>
      </c>
      <c r="D19" s="81" t="s">
        <v>31</v>
      </c>
      <c r="E19" s="82" t="s">
        <v>452</v>
      </c>
      <c r="F19" s="82" t="s">
        <v>358</v>
      </c>
      <c r="G19" s="19" t="str">
        <f t="shared" si="0"/>
        <v>G4E</v>
      </c>
      <c r="H19" s="19" t="str">
        <f t="shared" si="2"/>
        <v>G3E</v>
      </c>
      <c r="I19" s="19" t="str">
        <f t="shared" si="1"/>
        <v>G5E</v>
      </c>
      <c r="J19" s="80">
        <v>50</v>
      </c>
      <c r="K19" s="84">
        <v>70</v>
      </c>
      <c r="L19" s="84">
        <v>30</v>
      </c>
      <c r="M19" s="80">
        <v>50</v>
      </c>
      <c r="N19" s="78" t="s">
        <v>156</v>
      </c>
      <c r="O19" s="155" t="s">
        <v>82</v>
      </c>
      <c r="P19" s="151" t="s">
        <v>82</v>
      </c>
      <c r="Q19" s="151" t="s">
        <v>100</v>
      </c>
      <c r="R19" s="151" t="s">
        <v>101</v>
      </c>
      <c r="S19" s="151" t="s">
        <v>85</v>
      </c>
      <c r="T19" s="151" t="s">
        <v>95</v>
      </c>
      <c r="U19" s="151" t="s">
        <v>87</v>
      </c>
      <c r="V19" s="151" t="s">
        <v>102</v>
      </c>
      <c r="W19" s="1" t="str">
        <f t="shared" si="3"/>
        <v xml:space="preserve">Manages initiatives that create significant value to the departments / factory for achieving initiative’s goals
Enhances existing processes/systems/products for level up departments / factory performance
Solves  business issues with some authorities to manage  operational resources and limited human or financial resources related the initiatives
Convinces internal and external parties who are unwilling to accept the initiative policy
Coaches and shares knowledge with others
Has well-developed job knowledge for assigned project operating and skills for managing team members
</v>
      </c>
      <c r="X19" s="2" t="s">
        <v>156</v>
      </c>
      <c r="Y19" s="75" t="s">
        <v>460</v>
      </c>
    </row>
    <row r="20" spans="2:25" ht="180">
      <c r="B20" s="81" t="s">
        <v>22</v>
      </c>
      <c r="C20" s="81" t="s">
        <v>21</v>
      </c>
      <c r="D20" s="81" t="s">
        <v>33</v>
      </c>
      <c r="E20" s="82" t="s">
        <v>452</v>
      </c>
      <c r="F20" s="82" t="s">
        <v>358</v>
      </c>
      <c r="G20" s="19" t="str">
        <f t="shared" si="0"/>
        <v>M5E</v>
      </c>
      <c r="H20" s="19" t="str">
        <f t="shared" si="2"/>
        <v>M4E</v>
      </c>
      <c r="I20" s="19" t="str">
        <f t="shared" si="1"/>
        <v>G6E</v>
      </c>
      <c r="J20" s="80">
        <v>40</v>
      </c>
      <c r="K20" s="85">
        <v>60</v>
      </c>
      <c r="L20" s="85">
        <v>40</v>
      </c>
      <c r="M20" s="80">
        <v>60</v>
      </c>
      <c r="N20" s="78" t="s">
        <v>184</v>
      </c>
      <c r="O20" s="155" t="s">
        <v>105</v>
      </c>
      <c r="P20" s="151" t="s">
        <v>40</v>
      </c>
      <c r="Q20" s="151" t="s">
        <v>170</v>
      </c>
      <c r="R20" s="151" t="s">
        <v>108</v>
      </c>
      <c r="S20" s="151" t="s">
        <v>109</v>
      </c>
      <c r="T20" s="151" t="s">
        <v>110</v>
      </c>
      <c r="U20" s="151" t="s">
        <v>111</v>
      </c>
      <c r="V20" s="151" t="s">
        <v>112</v>
      </c>
      <c r="W20" s="1" t="str">
        <f t="shared" si="3"/>
        <v xml:space="preserve">Co-develops action plan (1 year) and manages the section for achieving section’s goals
Adapts or enhances quality and value in existing process for level up team productivity
Solves  operational issue with limited authority to manage operational resources in assigned areasConvinces internal and external parties to reach agreement,  accepts new concept, practices and approachesCoaches team membersHas well-developed job knowledge for team operating and skills for supervising team members
 </v>
      </c>
      <c r="X20" s="2" t="s">
        <v>184</v>
      </c>
      <c r="Y20" s="75" t="s">
        <v>469</v>
      </c>
    </row>
    <row r="21" spans="2:25" ht="187.2">
      <c r="B21" s="81" t="s">
        <v>37</v>
      </c>
      <c r="C21" s="81" t="s">
        <v>99</v>
      </c>
      <c r="D21" s="81" t="s">
        <v>273</v>
      </c>
      <c r="E21" s="82" t="s">
        <v>452</v>
      </c>
      <c r="F21" s="82" t="s">
        <v>358</v>
      </c>
      <c r="G21" s="19" t="str">
        <f t="shared" si="0"/>
        <v>E5E</v>
      </c>
      <c r="H21" s="19" t="str">
        <f t="shared" si="2"/>
        <v>E4E</v>
      </c>
      <c r="I21" s="19" t="str">
        <f t="shared" si="1"/>
        <v>E6E</v>
      </c>
      <c r="J21" s="80">
        <v>40</v>
      </c>
      <c r="K21" s="85">
        <v>60</v>
      </c>
      <c r="L21" s="85">
        <v>40</v>
      </c>
      <c r="M21" s="80">
        <v>60</v>
      </c>
      <c r="N21" s="78" t="s">
        <v>157</v>
      </c>
      <c r="O21" s="155" t="s">
        <v>44</v>
      </c>
      <c r="P21" s="151" t="s">
        <v>32</v>
      </c>
      <c r="Q21" s="151" t="s">
        <v>107</v>
      </c>
      <c r="R21" s="151" t="s">
        <v>108</v>
      </c>
      <c r="S21" s="151" t="s">
        <v>109</v>
      </c>
      <c r="T21" s="151" t="s">
        <v>110</v>
      </c>
      <c r="U21" s="151" t="s">
        <v>111</v>
      </c>
      <c r="V21" s="151" t="s">
        <v>112</v>
      </c>
      <c r="W21" s="1" t="str">
        <f t="shared" si="3"/>
        <v xml:space="preserve">Sets goals and objectives for team members for achieving operational results and team’s goal 
Adapts or enhances quality and value in existing process for level up team productivity
Solves  operational issue with limited authority to manage operational resources in assigned areasConvinces internal and external parties to reach agreement,  accepts new concept, practices and approachesCoaches team membersHas well-developed job knowledge for team operating and skills for supervising team members
 </v>
      </c>
      <c r="X21" s="2" t="s">
        <v>157</v>
      </c>
      <c r="Y21" s="74" t="s">
        <v>468</v>
      </c>
    </row>
    <row r="22" spans="2:25" ht="187.2">
      <c r="B22" s="81" t="s">
        <v>106</v>
      </c>
      <c r="C22" s="81" t="s">
        <v>103</v>
      </c>
      <c r="D22" s="81" t="s">
        <v>113</v>
      </c>
      <c r="E22" s="82" t="s">
        <v>452</v>
      </c>
      <c r="F22" s="82" t="s">
        <v>358</v>
      </c>
      <c r="G22" s="19" t="str">
        <f t="shared" si="0"/>
        <v>S5E</v>
      </c>
      <c r="H22" s="19" t="str">
        <f t="shared" si="2"/>
        <v>S4E</v>
      </c>
      <c r="I22" s="19" t="str">
        <f t="shared" si="1"/>
        <v>S6E</v>
      </c>
      <c r="J22" s="80">
        <v>40</v>
      </c>
      <c r="K22" s="85">
        <v>60</v>
      </c>
      <c r="L22" s="85">
        <v>40</v>
      </c>
      <c r="M22" s="80">
        <v>60</v>
      </c>
      <c r="N22" s="78" t="s">
        <v>157</v>
      </c>
      <c r="O22" s="155" t="s">
        <v>44</v>
      </c>
      <c r="P22" s="151" t="s">
        <v>32</v>
      </c>
      <c r="Q22" s="151" t="s">
        <v>107</v>
      </c>
      <c r="R22" s="151" t="s">
        <v>108</v>
      </c>
      <c r="S22" s="151" t="s">
        <v>109</v>
      </c>
      <c r="T22" s="151" t="s">
        <v>110</v>
      </c>
      <c r="U22" s="151" t="s">
        <v>111</v>
      </c>
      <c r="V22" s="151" t="s">
        <v>112</v>
      </c>
      <c r="W22" s="1" t="str">
        <f t="shared" si="3"/>
        <v xml:space="preserve">Sets goals and objectives for team members for achieving operational results and team’s goal 
Adapts or enhances quality and value in existing process for level up team productivity
Solves  operational issue with limited authority to manage operational resources in assigned areasConvinces internal and external parties to reach agreement,  accepts new concept, practices and approachesCoaches team membersHas well-developed job knowledge for team operating and skills for supervising team members
 </v>
      </c>
      <c r="X22" s="2" t="s">
        <v>157</v>
      </c>
      <c r="Y22" s="74" t="s">
        <v>468</v>
      </c>
    </row>
    <row r="23" spans="2:25" ht="187.2">
      <c r="B23" s="81" t="s">
        <v>31</v>
      </c>
      <c r="C23" s="81" t="s">
        <v>104</v>
      </c>
      <c r="D23" s="81" t="s">
        <v>33</v>
      </c>
      <c r="E23" s="82" t="s">
        <v>452</v>
      </c>
      <c r="F23" s="82" t="s">
        <v>358</v>
      </c>
      <c r="G23" s="19" t="str">
        <f t="shared" si="0"/>
        <v>G5E</v>
      </c>
      <c r="H23" s="19" t="str">
        <f t="shared" si="2"/>
        <v>G4E</v>
      </c>
      <c r="I23" s="19" t="str">
        <f t="shared" si="1"/>
        <v>G6E</v>
      </c>
      <c r="J23" s="80">
        <v>40</v>
      </c>
      <c r="K23" s="85">
        <v>60</v>
      </c>
      <c r="L23" s="85">
        <v>40</v>
      </c>
      <c r="M23" s="80">
        <v>60</v>
      </c>
      <c r="N23" s="78" t="s">
        <v>157</v>
      </c>
      <c r="O23" s="155" t="s">
        <v>44</v>
      </c>
      <c r="P23" s="151" t="s">
        <v>32</v>
      </c>
      <c r="Q23" s="151" t="s">
        <v>107</v>
      </c>
      <c r="R23" s="151" t="s">
        <v>108</v>
      </c>
      <c r="S23" s="151" t="s">
        <v>109</v>
      </c>
      <c r="T23" s="151" t="s">
        <v>110</v>
      </c>
      <c r="U23" s="151" t="s">
        <v>111</v>
      </c>
      <c r="V23" s="151" t="s">
        <v>112</v>
      </c>
      <c r="W23" s="1" t="str">
        <f t="shared" si="3"/>
        <v xml:space="preserve">Sets goals and objectives for team members for achieving operational results and team’s goal 
Adapts or enhances quality and value in existing process for level up team productivity
Solves  operational issue with limited authority to manage operational resources in assigned areasConvinces internal and external parties to reach agreement,  accepts new concept, practices and approachesCoaches team membersHas well-developed job knowledge for team operating and skills for supervising team members
 </v>
      </c>
      <c r="X23" s="2" t="s">
        <v>157</v>
      </c>
      <c r="Y23" s="74" t="s">
        <v>468</v>
      </c>
    </row>
    <row r="24" spans="2:25" ht="187.2">
      <c r="B24" s="81" t="s">
        <v>41</v>
      </c>
      <c r="C24" s="81" t="s">
        <v>423</v>
      </c>
      <c r="D24" s="81" t="s">
        <v>42</v>
      </c>
      <c r="E24" s="82" t="s">
        <v>452</v>
      </c>
      <c r="F24" s="82" t="s">
        <v>358</v>
      </c>
      <c r="G24" s="19" t="str">
        <f t="shared" si="0"/>
        <v>P5E</v>
      </c>
      <c r="H24" s="19" t="str">
        <f t="shared" si="2"/>
        <v>P4E</v>
      </c>
      <c r="I24" s="19" t="str">
        <f t="shared" si="1"/>
        <v>P6E</v>
      </c>
      <c r="J24" s="80">
        <v>40</v>
      </c>
      <c r="K24" s="85">
        <v>60</v>
      </c>
      <c r="L24" s="85">
        <v>40</v>
      </c>
      <c r="M24" s="80">
        <v>60</v>
      </c>
      <c r="N24" s="78" t="s">
        <v>157</v>
      </c>
      <c r="O24" s="155" t="s">
        <v>44</v>
      </c>
      <c r="P24" s="151" t="s">
        <v>32</v>
      </c>
      <c r="Q24" s="151" t="s">
        <v>107</v>
      </c>
      <c r="R24" s="151" t="s">
        <v>108</v>
      </c>
      <c r="S24" s="151" t="s">
        <v>109</v>
      </c>
      <c r="T24" s="151" t="s">
        <v>110</v>
      </c>
      <c r="U24" s="151" t="s">
        <v>111</v>
      </c>
      <c r="V24" s="151" t="s">
        <v>112</v>
      </c>
      <c r="W24" s="1" t="str">
        <f t="shared" si="3"/>
        <v xml:space="preserve">Sets goals and objectives for team members for achieving operational results and team’s goal 
Adapts or enhances quality and value in existing process for level up team productivity
Solves  operational issue with limited authority to manage operational resources in assigned areasConvinces internal and external parties to reach agreement,  accepts new concept, practices and approachesCoaches team membersHas well-developed job knowledge for team operating and skills for supervising team members
 </v>
      </c>
      <c r="X24" s="2" t="s">
        <v>157</v>
      </c>
      <c r="Y24" s="74" t="s">
        <v>468</v>
      </c>
    </row>
    <row r="25" spans="2:25" ht="150">
      <c r="B25" s="81" t="s">
        <v>273</v>
      </c>
      <c r="C25" s="81" t="s">
        <v>37</v>
      </c>
      <c r="D25" s="81" t="s">
        <v>34</v>
      </c>
      <c r="E25" s="82" t="s">
        <v>452</v>
      </c>
      <c r="F25" s="82" t="s">
        <v>358</v>
      </c>
      <c r="G25" s="19" t="str">
        <f t="shared" si="0"/>
        <v>E6E</v>
      </c>
      <c r="H25" s="19" t="str">
        <f t="shared" si="2"/>
        <v>E5E</v>
      </c>
      <c r="I25" s="19" t="str">
        <f t="shared" si="1"/>
        <v>E7E</v>
      </c>
      <c r="J25" s="80">
        <v>40</v>
      </c>
      <c r="K25" s="85">
        <v>60</v>
      </c>
      <c r="L25" s="85">
        <v>40</v>
      </c>
      <c r="M25" s="80">
        <v>60</v>
      </c>
      <c r="N25" s="78" t="s">
        <v>158</v>
      </c>
      <c r="O25" s="155" t="s">
        <v>115</v>
      </c>
      <c r="P25" s="151" t="s">
        <v>32</v>
      </c>
      <c r="Q25" s="151" t="s">
        <v>116</v>
      </c>
      <c r="R25" s="151" t="s">
        <v>117</v>
      </c>
      <c r="S25" s="151" t="s">
        <v>109</v>
      </c>
      <c r="T25" s="151" t="s">
        <v>118</v>
      </c>
      <c r="U25" s="151" t="s">
        <v>119</v>
      </c>
      <c r="V25" s="151" t="s">
        <v>120</v>
      </c>
      <c r="W25" s="1" t="str">
        <f t="shared" si="3"/>
        <v>Executes critical assignments independently within the job area
Adapts or Checks, corrects problem exiting operation systems or  processesSolves  operational issue with limited authority to manage operational resources in assigned areasConvinces or Explains facts, practices, policies to internal and external parties
Teaches job knowledge to lower levelHas advances knowledge within one job area</v>
      </c>
      <c r="X25" s="2" t="s">
        <v>158</v>
      </c>
      <c r="Y25" s="74" t="s">
        <v>467</v>
      </c>
    </row>
    <row r="26" spans="2:25" ht="150">
      <c r="B26" s="81" t="s">
        <v>113</v>
      </c>
      <c r="C26" s="81" t="s">
        <v>106</v>
      </c>
      <c r="D26" s="81" t="s">
        <v>121</v>
      </c>
      <c r="E26" s="82" t="s">
        <v>452</v>
      </c>
      <c r="F26" s="82" t="s">
        <v>358</v>
      </c>
      <c r="G26" s="19" t="str">
        <f t="shared" si="0"/>
        <v>S6E</v>
      </c>
      <c r="H26" s="19" t="str">
        <f t="shared" si="2"/>
        <v>S5E</v>
      </c>
      <c r="I26" s="19" t="str">
        <f t="shared" si="1"/>
        <v>S7E</v>
      </c>
      <c r="J26" s="80">
        <v>40</v>
      </c>
      <c r="K26" s="85">
        <v>60</v>
      </c>
      <c r="L26" s="85">
        <v>40</v>
      </c>
      <c r="M26" s="80">
        <v>60</v>
      </c>
      <c r="N26" s="78" t="s">
        <v>158</v>
      </c>
      <c r="O26" s="155" t="s">
        <v>114</v>
      </c>
      <c r="P26" s="151" t="s">
        <v>32</v>
      </c>
      <c r="Q26" s="151" t="s">
        <v>116</v>
      </c>
      <c r="R26" s="151" t="s">
        <v>117</v>
      </c>
      <c r="S26" s="151" t="s">
        <v>109</v>
      </c>
      <c r="T26" s="151" t="s">
        <v>118</v>
      </c>
      <c r="U26" s="151" t="s">
        <v>119</v>
      </c>
      <c r="V26" s="151" t="s">
        <v>120</v>
      </c>
      <c r="W26" s="1" t="str">
        <f t="shared" si="3"/>
        <v>Executes critical assignments independently within the job area
Adapts or Checks, corrects problem exiting operation systems or  processesSolves  operational issue with limited authority to manage operational resources in assigned areasConvinces or Explains facts, practices, policies to internal and external parties
Teaches job knowledge to lower levelHas advances knowledge within one job area</v>
      </c>
      <c r="X26" s="2" t="s">
        <v>158</v>
      </c>
      <c r="Y26" s="74" t="s">
        <v>467</v>
      </c>
    </row>
    <row r="27" spans="2:25" ht="150">
      <c r="B27" s="81" t="s">
        <v>33</v>
      </c>
      <c r="C27" s="81" t="s">
        <v>31</v>
      </c>
      <c r="D27" s="81" t="s">
        <v>35</v>
      </c>
      <c r="E27" s="82" t="s">
        <v>452</v>
      </c>
      <c r="F27" s="82" t="s">
        <v>358</v>
      </c>
      <c r="G27" s="19" t="str">
        <f t="shared" si="0"/>
        <v>G6E</v>
      </c>
      <c r="H27" s="19" t="str">
        <f t="shared" si="2"/>
        <v>G5E</v>
      </c>
      <c r="I27" s="19" t="str">
        <f t="shared" si="1"/>
        <v>G7E</v>
      </c>
      <c r="J27" s="80">
        <v>40</v>
      </c>
      <c r="K27" s="85">
        <v>60</v>
      </c>
      <c r="L27" s="85">
        <v>40</v>
      </c>
      <c r="M27" s="80">
        <v>60</v>
      </c>
      <c r="N27" s="78" t="s">
        <v>158</v>
      </c>
      <c r="O27" s="155" t="s">
        <v>114</v>
      </c>
      <c r="P27" s="151" t="s">
        <v>32</v>
      </c>
      <c r="Q27" s="151" t="s">
        <v>116</v>
      </c>
      <c r="R27" s="151" t="s">
        <v>117</v>
      </c>
      <c r="S27" s="151" t="s">
        <v>109</v>
      </c>
      <c r="T27" s="151" t="s">
        <v>118</v>
      </c>
      <c r="U27" s="151" t="s">
        <v>119</v>
      </c>
      <c r="V27" s="151" t="s">
        <v>120</v>
      </c>
      <c r="W27" s="1" t="str">
        <f t="shared" si="3"/>
        <v>Executes critical assignments independently within the job area
Adapts or Checks, corrects problem exiting operation systems or  processesSolves  operational issue with limited authority to manage operational resources in assigned areasConvinces or Explains facts, practices, policies to internal and external parties
Teaches job knowledge to lower levelHas advances knowledge within one job area</v>
      </c>
      <c r="X27" s="2" t="s">
        <v>158</v>
      </c>
      <c r="Y27" s="74" t="s">
        <v>467</v>
      </c>
    </row>
    <row r="28" spans="2:25" ht="135">
      <c r="B28" s="81" t="s">
        <v>42</v>
      </c>
      <c r="C28" s="81" t="s">
        <v>41</v>
      </c>
      <c r="D28" s="81" t="s">
        <v>275</v>
      </c>
      <c r="E28" s="82" t="s">
        <v>452</v>
      </c>
      <c r="F28" s="82" t="s">
        <v>358</v>
      </c>
      <c r="G28" s="19" t="str">
        <f t="shared" si="0"/>
        <v>P6E</v>
      </c>
      <c r="H28" s="19" t="str">
        <f t="shared" si="2"/>
        <v>P5E</v>
      </c>
      <c r="I28" s="19" t="str">
        <f t="shared" si="1"/>
        <v>P7-BE</v>
      </c>
      <c r="J28" s="80">
        <v>40</v>
      </c>
      <c r="K28" s="85">
        <v>60</v>
      </c>
      <c r="L28" s="85">
        <v>40</v>
      </c>
      <c r="M28" s="80">
        <v>60</v>
      </c>
      <c r="N28" s="78" t="s">
        <v>158</v>
      </c>
      <c r="O28" s="155" t="s">
        <v>114</v>
      </c>
      <c r="P28" s="151" t="s">
        <v>32</v>
      </c>
      <c r="Q28" s="151" t="s">
        <v>116</v>
      </c>
      <c r="R28" s="151" t="s">
        <v>117</v>
      </c>
      <c r="S28" s="151" t="s">
        <v>109</v>
      </c>
      <c r="T28" s="151" t="s">
        <v>118</v>
      </c>
      <c r="U28" s="151" t="s">
        <v>119</v>
      </c>
      <c r="V28" s="151" t="s">
        <v>120</v>
      </c>
      <c r="W28" s="1"/>
      <c r="X28" s="2" t="s">
        <v>158</v>
      </c>
      <c r="Y28" s="74" t="s">
        <v>467</v>
      </c>
    </row>
    <row r="29" spans="2:25" ht="135">
      <c r="B29" s="81" t="s">
        <v>34</v>
      </c>
      <c r="C29" s="81" t="s">
        <v>273</v>
      </c>
      <c r="D29" s="81" t="s">
        <v>274</v>
      </c>
      <c r="E29" s="82" t="s">
        <v>452</v>
      </c>
      <c r="F29" s="82" t="s">
        <v>358</v>
      </c>
      <c r="G29" s="19" t="str">
        <f t="shared" si="0"/>
        <v>E7E</v>
      </c>
      <c r="H29" s="19" t="str">
        <f t="shared" si="2"/>
        <v>E6E</v>
      </c>
      <c r="I29" s="19" t="str">
        <f t="shared" si="1"/>
        <v>E8E</v>
      </c>
      <c r="J29" s="80">
        <v>30</v>
      </c>
      <c r="K29" s="85">
        <v>60</v>
      </c>
      <c r="L29" s="85">
        <v>40</v>
      </c>
      <c r="M29" s="80">
        <v>70</v>
      </c>
      <c r="N29" s="78" t="s">
        <v>464</v>
      </c>
      <c r="O29" s="155" t="s">
        <v>124</v>
      </c>
      <c r="P29" s="151" t="s">
        <v>32</v>
      </c>
      <c r="Q29" s="151" t="s">
        <v>125</v>
      </c>
      <c r="R29" s="151" t="s">
        <v>126</v>
      </c>
      <c r="S29" s="151" t="s">
        <v>127</v>
      </c>
      <c r="T29" s="151" t="s">
        <v>128</v>
      </c>
      <c r="U29" s="151" t="s">
        <v>129</v>
      </c>
      <c r="V29" s="151" t="s">
        <v>130</v>
      </c>
      <c r="W29" s="1" t="str">
        <f t="shared" ref="W29:W32" si="4">Q29&amp;R29&amp;S29&amp;T29&amp;U29&amp;V29</f>
        <v>Executes assignments with limited supervision within the job area
Checks and corrects problem in  exiting operation, systems or  processes
Solves well-defined operational issues in a assigned area
Explains facts, practices, policies to primary internal partiesGuides job knowledge to lower level
Has practical job knowledge within one job area</v>
      </c>
      <c r="X29" s="2" t="s">
        <v>159</v>
      </c>
      <c r="Y29" s="74" t="s">
        <v>465</v>
      </c>
    </row>
    <row r="30" spans="2:25" ht="135">
      <c r="B30" s="81" t="s">
        <v>121</v>
      </c>
      <c r="C30" s="81" t="s">
        <v>113</v>
      </c>
      <c r="D30" s="81" t="s">
        <v>131</v>
      </c>
      <c r="E30" s="82" t="s">
        <v>452</v>
      </c>
      <c r="F30" s="82" t="s">
        <v>358</v>
      </c>
      <c r="G30" s="19" t="str">
        <f t="shared" si="0"/>
        <v>S7E</v>
      </c>
      <c r="H30" s="19" t="str">
        <f t="shared" si="2"/>
        <v>S6E</v>
      </c>
      <c r="I30" s="19" t="str">
        <f t="shared" si="1"/>
        <v>S8E</v>
      </c>
      <c r="J30" s="80">
        <v>30</v>
      </c>
      <c r="K30" s="85">
        <v>60</v>
      </c>
      <c r="L30" s="85">
        <v>40</v>
      </c>
      <c r="M30" s="80">
        <v>70</v>
      </c>
      <c r="N30" s="78" t="s">
        <v>464</v>
      </c>
      <c r="O30" s="155" t="s">
        <v>123</v>
      </c>
      <c r="P30" s="151" t="s">
        <v>32</v>
      </c>
      <c r="Q30" s="151" t="s">
        <v>125</v>
      </c>
      <c r="R30" s="151" t="s">
        <v>126</v>
      </c>
      <c r="S30" s="151" t="s">
        <v>127</v>
      </c>
      <c r="T30" s="151" t="s">
        <v>128</v>
      </c>
      <c r="U30" s="151" t="s">
        <v>129</v>
      </c>
      <c r="V30" s="151" t="s">
        <v>130</v>
      </c>
      <c r="W30" s="1" t="str">
        <f t="shared" si="4"/>
        <v>Executes assignments with limited supervision within the job area
Checks and corrects problem in  exiting operation, systems or  processes
Solves well-defined operational issues in a assigned area
Explains facts, practices, policies to primary internal partiesGuides job knowledge to lower level
Has practical job knowledge within one job area</v>
      </c>
      <c r="X30" s="2" t="s">
        <v>159</v>
      </c>
      <c r="Y30" s="74" t="s">
        <v>465</v>
      </c>
    </row>
    <row r="31" spans="2:25" ht="135">
      <c r="B31" s="81" t="s">
        <v>35</v>
      </c>
      <c r="C31" s="81" t="s">
        <v>33</v>
      </c>
      <c r="D31" s="81" t="s">
        <v>36</v>
      </c>
      <c r="E31" s="82" t="s">
        <v>452</v>
      </c>
      <c r="F31" s="82" t="s">
        <v>358</v>
      </c>
      <c r="G31" s="19" t="str">
        <f t="shared" si="0"/>
        <v>G7E</v>
      </c>
      <c r="H31" s="19" t="str">
        <f t="shared" si="2"/>
        <v>G6E</v>
      </c>
      <c r="I31" s="19" t="str">
        <f t="shared" si="1"/>
        <v>G8E</v>
      </c>
      <c r="J31" s="80">
        <v>30</v>
      </c>
      <c r="K31" s="85">
        <v>60</v>
      </c>
      <c r="L31" s="85">
        <v>40</v>
      </c>
      <c r="M31" s="80">
        <v>70</v>
      </c>
      <c r="N31" s="78" t="s">
        <v>464</v>
      </c>
      <c r="O31" s="155" t="s">
        <v>123</v>
      </c>
      <c r="P31" s="151" t="s">
        <v>32</v>
      </c>
      <c r="Q31" s="151" t="s">
        <v>125</v>
      </c>
      <c r="R31" s="151" t="s">
        <v>126</v>
      </c>
      <c r="S31" s="151" t="s">
        <v>127</v>
      </c>
      <c r="T31" s="151" t="s">
        <v>128</v>
      </c>
      <c r="U31" s="151" t="s">
        <v>129</v>
      </c>
      <c r="V31" s="151" t="s">
        <v>130</v>
      </c>
      <c r="W31" s="1" t="str">
        <f t="shared" si="4"/>
        <v>Executes assignments with limited supervision within the job area
Checks and corrects problem in  exiting operation, systems or  processes
Solves well-defined operational issues in a assigned area
Explains facts, practices, policies to primary internal partiesGuides job knowledge to lower level
Has practical job knowledge within one job area</v>
      </c>
      <c r="X31" s="2" t="s">
        <v>159</v>
      </c>
      <c r="Y31" s="74" t="s">
        <v>465</v>
      </c>
    </row>
    <row r="32" spans="2:25" ht="135">
      <c r="B32" s="81" t="s">
        <v>275</v>
      </c>
      <c r="C32" s="81" t="s">
        <v>42</v>
      </c>
      <c r="D32" s="81" t="s">
        <v>277</v>
      </c>
      <c r="E32" s="82" t="s">
        <v>452</v>
      </c>
      <c r="F32" s="82" t="s">
        <v>358</v>
      </c>
      <c r="G32" s="19" t="str">
        <f t="shared" si="0"/>
        <v>P7-BE</v>
      </c>
      <c r="H32" s="19" t="str">
        <f t="shared" si="2"/>
        <v>P6E</v>
      </c>
      <c r="I32" s="19" t="str">
        <f t="shared" si="1"/>
        <v>P8-BE</v>
      </c>
      <c r="J32" s="80">
        <v>30</v>
      </c>
      <c r="K32" s="85">
        <v>60</v>
      </c>
      <c r="L32" s="85">
        <v>40</v>
      </c>
      <c r="M32" s="80">
        <v>70</v>
      </c>
      <c r="N32" s="78" t="s">
        <v>464</v>
      </c>
      <c r="O32" s="155" t="s">
        <v>122</v>
      </c>
      <c r="P32" s="151" t="s">
        <v>32</v>
      </c>
      <c r="Q32" s="151" t="s">
        <v>125</v>
      </c>
      <c r="R32" s="151" t="s">
        <v>126</v>
      </c>
      <c r="S32" s="151" t="s">
        <v>127</v>
      </c>
      <c r="T32" s="151" t="s">
        <v>128</v>
      </c>
      <c r="U32" s="151" t="s">
        <v>129</v>
      </c>
      <c r="V32" s="151" t="s">
        <v>130</v>
      </c>
      <c r="W32" s="1" t="str">
        <f t="shared" si="4"/>
        <v>Executes assignments with limited supervision within the job area
Checks and corrects problem in  exiting operation, systems or  processes
Solves well-defined operational issues in a assigned area
Explains facts, practices, policies to primary internal partiesGuides job knowledge to lower level
Has practical job knowledge within one job area</v>
      </c>
      <c r="X32" s="2" t="s">
        <v>159</v>
      </c>
      <c r="Y32" s="74" t="s">
        <v>465</v>
      </c>
    </row>
    <row r="33" spans="2:25" ht="135">
      <c r="B33" s="81" t="s">
        <v>276</v>
      </c>
      <c r="C33" s="81" t="s">
        <v>42</v>
      </c>
      <c r="D33" s="81" t="s">
        <v>278</v>
      </c>
      <c r="E33" s="82" t="s">
        <v>452</v>
      </c>
      <c r="F33" s="82" t="s">
        <v>358</v>
      </c>
      <c r="G33" s="19" t="str">
        <f t="shared" si="0"/>
        <v>P7-AE</v>
      </c>
      <c r="H33" s="19" t="str">
        <f t="shared" si="2"/>
        <v>P6E</v>
      </c>
      <c r="I33" s="19" t="str">
        <f t="shared" si="1"/>
        <v>P8-AE</v>
      </c>
      <c r="J33" s="80">
        <v>30</v>
      </c>
      <c r="K33" s="85">
        <v>60</v>
      </c>
      <c r="L33" s="85">
        <v>40</v>
      </c>
      <c r="M33" s="80">
        <v>70</v>
      </c>
      <c r="N33" s="78" t="s">
        <v>464</v>
      </c>
      <c r="O33" s="155" t="s">
        <v>122</v>
      </c>
      <c r="P33" s="151" t="s">
        <v>32</v>
      </c>
      <c r="Q33" s="151" t="s">
        <v>125</v>
      </c>
      <c r="R33" s="151" t="s">
        <v>126</v>
      </c>
      <c r="S33" s="151" t="s">
        <v>127</v>
      </c>
      <c r="T33" s="151" t="s">
        <v>128</v>
      </c>
      <c r="U33" s="151" t="s">
        <v>129</v>
      </c>
      <c r="V33" s="151" t="s">
        <v>130</v>
      </c>
      <c r="W33" s="1" t="str">
        <f t="shared" ref="W33:W37" si="5">Q33&amp;R33&amp;S33&amp;T33&amp;U33&amp;V33</f>
        <v>Executes assignments with limited supervision within the job area
Checks and corrects problem in  exiting operation, systems or  processes
Solves well-defined operational issues in a assigned area
Explains facts, practices, policies to primary internal partiesGuides job knowledge to lower level
Has practical job knowledge within one job area</v>
      </c>
      <c r="X33" s="2" t="s">
        <v>159</v>
      </c>
      <c r="Y33" s="74" t="s">
        <v>465</v>
      </c>
    </row>
    <row r="34" spans="2:25" ht="165">
      <c r="B34" s="81" t="s">
        <v>274</v>
      </c>
      <c r="C34" s="81" t="s">
        <v>34</v>
      </c>
      <c r="D34" s="81" t="s">
        <v>43</v>
      </c>
      <c r="E34" s="82" t="s">
        <v>452</v>
      </c>
      <c r="F34" s="82" t="s">
        <v>358</v>
      </c>
      <c r="G34" s="19" t="str">
        <f t="shared" si="0"/>
        <v>E8E</v>
      </c>
      <c r="H34" s="19" t="str">
        <f t="shared" si="2"/>
        <v>E7E</v>
      </c>
      <c r="I34" s="19" t="str">
        <f t="shared" si="1"/>
        <v>G9E</v>
      </c>
      <c r="J34" s="80">
        <v>30</v>
      </c>
      <c r="K34" s="85">
        <v>60</v>
      </c>
      <c r="L34" s="85">
        <v>40</v>
      </c>
      <c r="M34" s="80">
        <v>70</v>
      </c>
      <c r="N34" s="78" t="s">
        <v>160</v>
      </c>
      <c r="O34" s="155" t="s">
        <v>134</v>
      </c>
      <c r="P34" s="151" t="s">
        <v>32</v>
      </c>
      <c r="Q34" s="151" t="s">
        <v>135</v>
      </c>
      <c r="R34" s="151" t="s">
        <v>136</v>
      </c>
      <c r="S34" s="151" t="s">
        <v>127</v>
      </c>
      <c r="T34" s="151" t="s">
        <v>128</v>
      </c>
      <c r="U34" s="151" t="s">
        <v>129</v>
      </c>
      <c r="V34" s="151" t="s">
        <v>137</v>
      </c>
      <c r="W34" s="1" t="str">
        <f t="shared" si="5"/>
        <v xml:space="preserve">Executes basic assignments with general supervision within the job area
Checks exiting operation systems or  processes
Solves well-defined operational issues in a assigned area
Explains facts, practices, policies to primary internal partiesGuides job knowledge to lower level
Has broad theoretical job knowledge within one job area
</v>
      </c>
      <c r="X34" s="2" t="s">
        <v>160</v>
      </c>
      <c r="Y34" s="73" t="s">
        <v>466</v>
      </c>
    </row>
    <row r="35" spans="2:25" ht="165">
      <c r="B35" s="81" t="s">
        <v>131</v>
      </c>
      <c r="C35" s="81" t="s">
        <v>121</v>
      </c>
      <c r="D35" s="81" t="s">
        <v>43</v>
      </c>
      <c r="E35" s="82" t="s">
        <v>452</v>
      </c>
      <c r="F35" s="82" t="s">
        <v>358</v>
      </c>
      <c r="G35" s="19" t="str">
        <f t="shared" si="0"/>
        <v>S8E</v>
      </c>
      <c r="H35" s="19" t="str">
        <f t="shared" si="2"/>
        <v>S7E</v>
      </c>
      <c r="I35" s="19" t="str">
        <f t="shared" si="1"/>
        <v>G9E</v>
      </c>
      <c r="J35" s="80">
        <v>30</v>
      </c>
      <c r="K35" s="85">
        <v>60</v>
      </c>
      <c r="L35" s="85">
        <v>40</v>
      </c>
      <c r="M35" s="80">
        <v>70</v>
      </c>
      <c r="N35" s="78" t="s">
        <v>160</v>
      </c>
      <c r="O35" s="155" t="s">
        <v>133</v>
      </c>
      <c r="P35" s="151" t="s">
        <v>32</v>
      </c>
      <c r="Q35" s="151" t="s">
        <v>135</v>
      </c>
      <c r="R35" s="151" t="s">
        <v>136</v>
      </c>
      <c r="S35" s="151" t="s">
        <v>127</v>
      </c>
      <c r="T35" s="151" t="s">
        <v>128</v>
      </c>
      <c r="U35" s="151" t="s">
        <v>129</v>
      </c>
      <c r="V35" s="151" t="s">
        <v>137</v>
      </c>
      <c r="W35" s="1" t="str">
        <f t="shared" si="5"/>
        <v xml:space="preserve">Executes basic assignments with general supervision within the job area
Checks exiting operation systems or  processes
Solves well-defined operational issues in a assigned area
Explains facts, practices, policies to primary internal partiesGuides job knowledge to lower level
Has broad theoretical job knowledge within one job area
</v>
      </c>
      <c r="X35" s="2" t="s">
        <v>160</v>
      </c>
      <c r="Y35" s="73" t="s">
        <v>466</v>
      </c>
    </row>
    <row r="36" spans="2:25" ht="165">
      <c r="B36" s="81" t="s">
        <v>36</v>
      </c>
      <c r="C36" s="81" t="s">
        <v>35</v>
      </c>
      <c r="D36" s="81" t="s">
        <v>43</v>
      </c>
      <c r="E36" s="82" t="s">
        <v>452</v>
      </c>
      <c r="F36" s="82" t="s">
        <v>358</v>
      </c>
      <c r="G36" s="19" t="str">
        <f t="shared" si="0"/>
        <v>G8E</v>
      </c>
      <c r="H36" s="19" t="str">
        <f t="shared" si="2"/>
        <v>G7E</v>
      </c>
      <c r="I36" s="19" t="str">
        <f t="shared" si="1"/>
        <v>G9E</v>
      </c>
      <c r="J36" s="80">
        <v>30</v>
      </c>
      <c r="K36" s="85">
        <v>60</v>
      </c>
      <c r="L36" s="85">
        <v>40</v>
      </c>
      <c r="M36" s="80">
        <v>70</v>
      </c>
      <c r="N36" s="78" t="s">
        <v>538</v>
      </c>
      <c r="O36" s="155" t="s">
        <v>133</v>
      </c>
      <c r="P36" s="151" t="s">
        <v>32</v>
      </c>
      <c r="Q36" s="151" t="s">
        <v>135</v>
      </c>
      <c r="R36" s="151" t="s">
        <v>136</v>
      </c>
      <c r="S36" s="151" t="s">
        <v>127</v>
      </c>
      <c r="T36" s="151" t="s">
        <v>128</v>
      </c>
      <c r="U36" s="151" t="s">
        <v>129</v>
      </c>
      <c r="V36" s="151" t="s">
        <v>137</v>
      </c>
      <c r="W36" s="1" t="str">
        <f t="shared" si="5"/>
        <v xml:space="preserve">Executes basic assignments with general supervision within the job area
Checks exiting operation systems or  processes
Solves well-defined operational issues in a assigned area
Explains facts, practices, policies to primary internal partiesGuides job knowledge to lower level
Has broad theoretical job knowledge within one job area
</v>
      </c>
      <c r="X36" s="2" t="s">
        <v>160</v>
      </c>
      <c r="Y36" s="73" t="s">
        <v>466</v>
      </c>
    </row>
    <row r="37" spans="2:25" ht="165">
      <c r="B37" s="81" t="s">
        <v>277</v>
      </c>
      <c r="C37" s="81" t="s">
        <v>275</v>
      </c>
      <c r="D37" s="81" t="s">
        <v>279</v>
      </c>
      <c r="E37" s="82" t="s">
        <v>452</v>
      </c>
      <c r="F37" s="82" t="s">
        <v>358</v>
      </c>
      <c r="G37" s="19" t="str">
        <f t="shared" si="0"/>
        <v>P8-BE</v>
      </c>
      <c r="H37" s="19" t="str">
        <f t="shared" si="2"/>
        <v>P7-BE</v>
      </c>
      <c r="I37" s="19" t="str">
        <f t="shared" si="1"/>
        <v>P9-BE</v>
      </c>
      <c r="J37" s="80">
        <v>30</v>
      </c>
      <c r="K37" s="85">
        <v>60</v>
      </c>
      <c r="L37" s="85">
        <v>40</v>
      </c>
      <c r="M37" s="80">
        <v>70</v>
      </c>
      <c r="N37" s="78" t="s">
        <v>160</v>
      </c>
      <c r="O37" s="155" t="s">
        <v>132</v>
      </c>
      <c r="P37" s="151" t="s">
        <v>32</v>
      </c>
      <c r="Q37" s="151" t="s">
        <v>135</v>
      </c>
      <c r="R37" s="151" t="s">
        <v>136</v>
      </c>
      <c r="S37" s="151" t="s">
        <v>127</v>
      </c>
      <c r="T37" s="151" t="s">
        <v>128</v>
      </c>
      <c r="U37" s="151" t="s">
        <v>129</v>
      </c>
      <c r="V37" s="151" t="s">
        <v>137</v>
      </c>
      <c r="W37" s="1" t="str">
        <f t="shared" si="5"/>
        <v xml:space="preserve">Executes basic assignments with general supervision within the job area
Checks exiting operation systems or  processes
Solves well-defined operational issues in a assigned area
Explains facts, practices, policies to primary internal partiesGuides job knowledge to lower level
Has broad theoretical job knowledge within one job area
</v>
      </c>
      <c r="X37" s="2" t="s">
        <v>160</v>
      </c>
      <c r="Y37" s="73" t="s">
        <v>466</v>
      </c>
    </row>
    <row r="38" spans="2:25" ht="165">
      <c r="B38" s="81" t="s">
        <v>278</v>
      </c>
      <c r="C38" s="81" t="s">
        <v>276</v>
      </c>
      <c r="D38" s="81" t="s">
        <v>280</v>
      </c>
      <c r="E38" s="82" t="s">
        <v>452</v>
      </c>
      <c r="F38" s="82" t="s">
        <v>358</v>
      </c>
      <c r="G38" s="19" t="str">
        <f t="shared" si="0"/>
        <v>P8-AE</v>
      </c>
      <c r="H38" s="19" t="str">
        <f t="shared" si="2"/>
        <v>P7-AE</v>
      </c>
      <c r="I38" s="19" t="str">
        <f t="shared" si="1"/>
        <v>P9-AE</v>
      </c>
      <c r="J38" s="80">
        <v>30</v>
      </c>
      <c r="K38" s="85">
        <v>60</v>
      </c>
      <c r="L38" s="85">
        <v>40</v>
      </c>
      <c r="M38" s="80">
        <v>70</v>
      </c>
      <c r="N38" s="78" t="s">
        <v>160</v>
      </c>
      <c r="O38" s="155" t="s">
        <v>132</v>
      </c>
      <c r="P38" s="151" t="s">
        <v>32</v>
      </c>
      <c r="Q38" s="151" t="s">
        <v>135</v>
      </c>
      <c r="R38" s="151" t="s">
        <v>136</v>
      </c>
      <c r="S38" s="151" t="s">
        <v>127</v>
      </c>
      <c r="T38" s="151" t="s">
        <v>128</v>
      </c>
      <c r="U38" s="151" t="s">
        <v>129</v>
      </c>
      <c r="V38" s="151" t="s">
        <v>137</v>
      </c>
      <c r="W38" s="1" t="str">
        <f t="shared" ref="W38:W40" si="6">Q38&amp;R38&amp;S38&amp;T38&amp;U38&amp;V38</f>
        <v xml:space="preserve">Executes basic assignments with general supervision within the job area
Checks exiting operation systems or  processes
Solves well-defined operational issues in a assigned area
Explains facts, practices, policies to primary internal partiesGuides job knowledge to lower level
Has broad theoretical job knowledge within one job area
</v>
      </c>
      <c r="X38" s="2" t="s">
        <v>160</v>
      </c>
      <c r="Y38" s="73" t="s">
        <v>466</v>
      </c>
    </row>
    <row r="39" spans="2:25" ht="140.4">
      <c r="B39" s="81" t="s">
        <v>43</v>
      </c>
      <c r="C39" s="81" t="s">
        <v>36</v>
      </c>
      <c r="D39" s="81" t="s">
        <v>146</v>
      </c>
      <c r="E39" s="82" t="s">
        <v>452</v>
      </c>
      <c r="F39" s="82" t="s">
        <v>358</v>
      </c>
      <c r="G39" s="19" t="str">
        <f t="shared" si="0"/>
        <v>G9E</v>
      </c>
      <c r="H39" s="19" t="str">
        <f t="shared" si="2"/>
        <v>G8E</v>
      </c>
      <c r="I39" s="19" t="str">
        <f t="shared" si="1"/>
        <v>G10E</v>
      </c>
      <c r="J39" s="80">
        <v>20</v>
      </c>
      <c r="K39" s="85">
        <v>60</v>
      </c>
      <c r="L39" s="85">
        <v>40</v>
      </c>
      <c r="M39" s="80">
        <v>80</v>
      </c>
      <c r="N39" s="78" t="s">
        <v>183</v>
      </c>
      <c r="O39" s="155" t="s">
        <v>138</v>
      </c>
      <c r="P39" s="151" t="s">
        <v>32</v>
      </c>
      <c r="Q39" s="151" t="s">
        <v>182</v>
      </c>
      <c r="R39" s="151" t="s">
        <v>140</v>
      </c>
      <c r="S39" s="151" t="s">
        <v>141</v>
      </c>
      <c r="T39" s="151" t="s">
        <v>142</v>
      </c>
      <c r="U39" s="151" t="s">
        <v>143</v>
      </c>
      <c r="V39" s="151" t="s">
        <v>144</v>
      </c>
      <c r="W39" s="1" t="str">
        <f t="shared" si="6"/>
        <v>Executes routine operation with moderate supervisionFollows and check existing operational procedureReports to superiors if there is any near miss or mistake in own operational areaProvides basic information and explains their opinion to primary internal parties
Shares work related knowledge with othersHas basic job knowledge and operational experience within one job area</v>
      </c>
      <c r="X39" s="2" t="s">
        <v>183</v>
      </c>
      <c r="Y39" s="73" t="s">
        <v>463</v>
      </c>
    </row>
    <row r="40" spans="2:25" ht="140.4">
      <c r="B40" s="81" t="s">
        <v>279</v>
      </c>
      <c r="C40" s="81" t="s">
        <v>277</v>
      </c>
      <c r="D40" s="81" t="s">
        <v>281</v>
      </c>
      <c r="E40" s="82" t="s">
        <v>452</v>
      </c>
      <c r="F40" s="82" t="s">
        <v>358</v>
      </c>
      <c r="G40" s="19" t="str">
        <f t="shared" si="0"/>
        <v>P9-BE</v>
      </c>
      <c r="H40" s="19" t="str">
        <f t="shared" si="2"/>
        <v>P8-BE</v>
      </c>
      <c r="I40" s="19" t="str">
        <f t="shared" si="1"/>
        <v>P10-BE</v>
      </c>
      <c r="J40" s="80">
        <v>20</v>
      </c>
      <c r="K40" s="85">
        <v>60</v>
      </c>
      <c r="L40" s="85">
        <v>40</v>
      </c>
      <c r="M40" s="80">
        <v>80</v>
      </c>
      <c r="N40" s="78" t="s">
        <v>183</v>
      </c>
      <c r="O40" s="155" t="s">
        <v>139</v>
      </c>
      <c r="P40" s="151" t="s">
        <v>32</v>
      </c>
      <c r="Q40" s="151" t="s">
        <v>182</v>
      </c>
      <c r="R40" s="151" t="s">
        <v>140</v>
      </c>
      <c r="S40" s="151" t="s">
        <v>141</v>
      </c>
      <c r="T40" s="151" t="s">
        <v>142</v>
      </c>
      <c r="U40" s="151" t="s">
        <v>143</v>
      </c>
      <c r="V40" s="151" t="s">
        <v>144</v>
      </c>
      <c r="W40" s="1" t="str">
        <f t="shared" si="6"/>
        <v>Executes routine operation with moderate supervisionFollows and check existing operational procedureReports to superiors if there is any near miss or mistake in own operational areaProvides basic information and explains their opinion to primary internal parties
Shares work related knowledge with othersHas basic job knowledge and operational experience within one job area</v>
      </c>
      <c r="X40" s="2" t="s">
        <v>183</v>
      </c>
      <c r="Y40" s="73" t="s">
        <v>463</v>
      </c>
    </row>
    <row r="41" spans="2:25" ht="140.4">
      <c r="B41" s="81" t="s">
        <v>280</v>
      </c>
      <c r="C41" s="81" t="s">
        <v>278</v>
      </c>
      <c r="D41" s="81" t="s">
        <v>282</v>
      </c>
      <c r="E41" s="82" t="s">
        <v>452</v>
      </c>
      <c r="F41" s="82" t="s">
        <v>358</v>
      </c>
      <c r="G41" s="19" t="str">
        <f t="shared" si="0"/>
        <v>P9-AE</v>
      </c>
      <c r="H41" s="19" t="str">
        <f t="shared" si="2"/>
        <v>P8-AE</v>
      </c>
      <c r="I41" s="19" t="str">
        <f t="shared" si="1"/>
        <v>P10-AE</v>
      </c>
      <c r="J41" s="80">
        <v>20</v>
      </c>
      <c r="K41" s="85">
        <v>60</v>
      </c>
      <c r="L41" s="85">
        <v>40</v>
      </c>
      <c r="M41" s="80">
        <v>80</v>
      </c>
      <c r="N41" s="78" t="s">
        <v>183</v>
      </c>
      <c r="O41" s="155" t="s">
        <v>139</v>
      </c>
      <c r="P41" s="151" t="s">
        <v>32</v>
      </c>
      <c r="Q41" s="151" t="s">
        <v>182</v>
      </c>
      <c r="R41" s="151" t="s">
        <v>140</v>
      </c>
      <c r="S41" s="151" t="s">
        <v>141</v>
      </c>
      <c r="T41" s="151" t="s">
        <v>142</v>
      </c>
      <c r="U41" s="151" t="s">
        <v>143</v>
      </c>
      <c r="V41" s="151" t="s">
        <v>144</v>
      </c>
      <c r="W41" s="1" t="str">
        <f t="shared" ref="W41:W43" si="7">Q41&amp;R41&amp;S41&amp;T41&amp;U41&amp;V41</f>
        <v>Executes routine operation with moderate supervisionFollows and check existing operational procedureReports to superiors if there is any near miss or mistake in own operational areaProvides basic information and explains their opinion to primary internal parties
Shares work related knowledge with othersHas basic job knowledge and operational experience within one job area</v>
      </c>
      <c r="X41" s="2" t="s">
        <v>183</v>
      </c>
      <c r="Y41" s="73" t="s">
        <v>463</v>
      </c>
    </row>
    <row r="42" spans="2:25" ht="124.8">
      <c r="B42" s="81" t="s">
        <v>146</v>
      </c>
      <c r="C42" s="81" t="s">
        <v>43</v>
      </c>
      <c r="D42" s="81" t="s">
        <v>283</v>
      </c>
      <c r="E42" s="82" t="s">
        <v>452</v>
      </c>
      <c r="F42" s="82" t="s">
        <v>358</v>
      </c>
      <c r="G42" s="19" t="str">
        <f t="shared" si="0"/>
        <v>G10E</v>
      </c>
      <c r="H42" s="19" t="str">
        <f t="shared" si="2"/>
        <v>G9E</v>
      </c>
      <c r="I42" s="19" t="str">
        <f t="shared" si="1"/>
        <v>G11E</v>
      </c>
      <c r="J42" s="80">
        <v>0</v>
      </c>
      <c r="K42" s="85">
        <v>60</v>
      </c>
      <c r="L42" s="85">
        <v>40</v>
      </c>
      <c r="M42" s="80">
        <v>100</v>
      </c>
      <c r="N42" s="78" t="s">
        <v>180</v>
      </c>
      <c r="O42" s="155" t="s">
        <v>145</v>
      </c>
      <c r="P42" s="151" t="s">
        <v>32</v>
      </c>
      <c r="Q42" s="151" t="s">
        <v>181</v>
      </c>
      <c r="R42" s="151" t="s">
        <v>147</v>
      </c>
      <c r="S42" s="151" t="s">
        <v>141</v>
      </c>
      <c r="T42" s="151" t="s">
        <v>45</v>
      </c>
      <c r="U42" s="151" t="s">
        <v>143</v>
      </c>
      <c r="V42" s="151" t="s">
        <v>148</v>
      </c>
      <c r="W42" s="1" t="str">
        <f t="shared" si="7"/>
        <v>Executes routine operation under standard procedure with close supervision Follows existing operational procedureReports to superiors if there is any near miss or mistake in own operational areaProvides basic information to primary internal parties
Shares work related knowledge with othersHas limited knowledge or experience</v>
      </c>
      <c r="X42" s="2" t="s">
        <v>180</v>
      </c>
      <c r="Y42" s="73" t="s">
        <v>461</v>
      </c>
    </row>
    <row r="43" spans="2:25" ht="124.8">
      <c r="B43" s="81" t="s">
        <v>281</v>
      </c>
      <c r="C43" s="81" t="s">
        <v>279</v>
      </c>
      <c r="D43" s="81" t="s">
        <v>284</v>
      </c>
      <c r="E43" s="82" t="s">
        <v>452</v>
      </c>
      <c r="F43" s="82" t="s">
        <v>358</v>
      </c>
      <c r="G43" s="19" t="str">
        <f t="shared" si="0"/>
        <v>P10-BE</v>
      </c>
      <c r="H43" s="19" t="str">
        <f t="shared" si="2"/>
        <v>P9-BE</v>
      </c>
      <c r="I43" s="19" t="str">
        <f t="shared" si="1"/>
        <v>P11E</v>
      </c>
      <c r="J43" s="80">
        <v>0</v>
      </c>
      <c r="K43" s="85">
        <v>60</v>
      </c>
      <c r="L43" s="85">
        <v>40</v>
      </c>
      <c r="M43" s="80">
        <v>100</v>
      </c>
      <c r="N43" s="78" t="s">
        <v>180</v>
      </c>
      <c r="O43" s="155" t="s">
        <v>149</v>
      </c>
      <c r="P43" s="151" t="s">
        <v>32</v>
      </c>
      <c r="Q43" s="151" t="s">
        <v>181</v>
      </c>
      <c r="R43" s="151" t="s">
        <v>147</v>
      </c>
      <c r="S43" s="151" t="s">
        <v>141</v>
      </c>
      <c r="T43" s="151" t="s">
        <v>45</v>
      </c>
      <c r="U43" s="151" t="s">
        <v>143</v>
      </c>
      <c r="V43" s="151" t="s">
        <v>148</v>
      </c>
      <c r="W43" s="1" t="str">
        <f t="shared" si="7"/>
        <v>Executes routine operation under standard procedure with close supervision Follows existing operational procedureReports to superiors if there is any near miss or mistake in own operational areaProvides basic information to primary internal parties
Shares work related knowledge with othersHas limited knowledge or experience</v>
      </c>
      <c r="X43" s="2" t="s">
        <v>180</v>
      </c>
      <c r="Y43" s="73" t="s">
        <v>461</v>
      </c>
    </row>
    <row r="44" spans="2:25" ht="124.8">
      <c r="B44" s="81" t="s">
        <v>282</v>
      </c>
      <c r="C44" s="81" t="s">
        <v>280</v>
      </c>
      <c r="D44" s="81" t="s">
        <v>284</v>
      </c>
      <c r="E44" s="82" t="s">
        <v>452</v>
      </c>
      <c r="F44" s="82" t="s">
        <v>358</v>
      </c>
      <c r="G44" s="19" t="str">
        <f>B44&amp;E44</f>
        <v>P10-AE</v>
      </c>
      <c r="H44" s="19" t="str">
        <f>C44&amp;E44</f>
        <v>P9-AE</v>
      </c>
      <c r="I44" s="19" t="str">
        <f>D44&amp;E44</f>
        <v>P11E</v>
      </c>
      <c r="J44" s="80">
        <v>0</v>
      </c>
      <c r="K44" s="85">
        <v>60</v>
      </c>
      <c r="L44" s="85">
        <v>40</v>
      </c>
      <c r="M44" s="80">
        <v>100</v>
      </c>
      <c r="N44" s="78" t="s">
        <v>180</v>
      </c>
      <c r="O44" s="155" t="s">
        <v>149</v>
      </c>
      <c r="P44" s="151" t="s">
        <v>32</v>
      </c>
      <c r="Q44" s="151" t="s">
        <v>181</v>
      </c>
      <c r="R44" s="151" t="s">
        <v>147</v>
      </c>
      <c r="S44" s="151" t="s">
        <v>141</v>
      </c>
      <c r="T44" s="151" t="s">
        <v>45</v>
      </c>
      <c r="U44" s="151" t="s">
        <v>143</v>
      </c>
      <c r="V44" s="151" t="s">
        <v>148</v>
      </c>
      <c r="W44" s="1" t="str">
        <f t="shared" ref="W44" si="8">Q44&amp;R44&amp;S44&amp;T44&amp;U44&amp;V44</f>
        <v>Executes routine operation under standard procedure with close supervision Follows existing operational procedureReports to superiors if there is any near miss or mistake in own operational areaProvides basic information to primary internal parties
Shares work related knowledge with othersHas limited knowledge or experience</v>
      </c>
      <c r="X44" s="2" t="s">
        <v>180</v>
      </c>
      <c r="Y44" s="73" t="s">
        <v>461</v>
      </c>
    </row>
    <row r="45" spans="2:25" ht="28.8">
      <c r="B45" s="81" t="s">
        <v>283</v>
      </c>
      <c r="C45" s="81" t="s">
        <v>146</v>
      </c>
      <c r="D45" s="81" t="s">
        <v>422</v>
      </c>
      <c r="E45" s="82" t="s">
        <v>452</v>
      </c>
      <c r="F45" s="82" t="s">
        <v>358</v>
      </c>
      <c r="G45" s="19" t="str">
        <f>B45&amp;E45</f>
        <v>G11E</v>
      </c>
      <c r="H45" s="19" t="str">
        <f>C45&amp;E45</f>
        <v>G10E</v>
      </c>
      <c r="I45" s="19" t="s">
        <v>422</v>
      </c>
      <c r="J45" s="80">
        <v>0</v>
      </c>
      <c r="K45" s="85">
        <v>60</v>
      </c>
      <c r="L45" s="85">
        <v>40</v>
      </c>
      <c r="M45" s="80">
        <v>100</v>
      </c>
      <c r="N45" s="77" t="s">
        <v>422</v>
      </c>
      <c r="O45" s="156" t="s">
        <v>422</v>
      </c>
      <c r="P45" s="152" t="s">
        <v>422</v>
      </c>
      <c r="Q45" s="152" t="s">
        <v>422</v>
      </c>
      <c r="R45" s="152" t="s">
        <v>422</v>
      </c>
      <c r="S45" s="152" t="s">
        <v>422</v>
      </c>
      <c r="T45" s="152" t="s">
        <v>422</v>
      </c>
      <c r="U45" s="152" t="s">
        <v>422</v>
      </c>
      <c r="V45" s="152" t="s">
        <v>422</v>
      </c>
      <c r="W45" s="44" t="s">
        <v>422</v>
      </c>
      <c r="X45" s="44" t="s">
        <v>422</v>
      </c>
    </row>
    <row r="46" spans="2:25" ht="124.8">
      <c r="B46" s="81" t="s">
        <v>284</v>
      </c>
      <c r="C46" s="81" t="s">
        <v>282</v>
      </c>
      <c r="D46" s="81" t="s">
        <v>14</v>
      </c>
      <c r="E46" s="82" t="s">
        <v>452</v>
      </c>
      <c r="F46" s="82" t="s">
        <v>358</v>
      </c>
      <c r="G46" s="19" t="str">
        <f>B46&amp;E46</f>
        <v>P11E</v>
      </c>
      <c r="H46" s="19" t="str">
        <f>C46&amp;E46</f>
        <v>P10-AE</v>
      </c>
      <c r="I46" s="19" t="s">
        <v>422</v>
      </c>
      <c r="J46" s="80">
        <v>0</v>
      </c>
      <c r="K46" s="85">
        <v>60</v>
      </c>
      <c r="L46" s="85">
        <v>40</v>
      </c>
      <c r="M46" s="80">
        <v>100</v>
      </c>
      <c r="N46" s="78" t="s">
        <v>161</v>
      </c>
      <c r="O46" s="155" t="s">
        <v>179</v>
      </c>
      <c r="P46" s="151" t="s">
        <v>32</v>
      </c>
      <c r="Q46" s="151" t="s">
        <v>424</v>
      </c>
      <c r="R46" s="151" t="s">
        <v>147</v>
      </c>
      <c r="S46" s="151" t="s">
        <v>141</v>
      </c>
      <c r="T46" s="151" t="s">
        <v>45</v>
      </c>
      <c r="U46" s="151" t="s">
        <v>143</v>
      </c>
      <c r="V46" s="151" t="s">
        <v>148</v>
      </c>
      <c r="W46" s="1" t="str">
        <f t="shared" ref="W46" si="9">Q46&amp;R46&amp;S46&amp;T46&amp;U46&amp;V46</f>
        <v>Executes  daily routine operation under standard procedure with close supervision Follows existing operational procedureReports to superiors if there is any near miss or mistake in own operational areaProvides basic information to primary internal parties
Shares work related knowledge with othersHas limited knowledge or experience</v>
      </c>
      <c r="X46" s="2" t="s">
        <v>161</v>
      </c>
      <c r="Y46" s="73" t="s">
        <v>462</v>
      </c>
    </row>
    <row r="47" spans="2:25" ht="165">
      <c r="B47" s="81" t="s">
        <v>18</v>
      </c>
      <c r="C47" s="81" t="s">
        <v>422</v>
      </c>
      <c r="D47" s="81" t="s">
        <v>19</v>
      </c>
      <c r="E47" s="82" t="s">
        <v>452</v>
      </c>
      <c r="F47" s="82" t="s">
        <v>358</v>
      </c>
      <c r="G47" s="19" t="str">
        <f t="shared" ref="G47:G86" si="10">B47&amp;F47</f>
        <v>M1T</v>
      </c>
      <c r="H47" s="19" t="s">
        <v>422</v>
      </c>
      <c r="I47" s="19" t="str">
        <f t="shared" ref="I47:I84" si="11">D47&amp;F47</f>
        <v>M2T</v>
      </c>
      <c r="J47" s="83"/>
      <c r="K47" s="83"/>
      <c r="L47" s="83"/>
      <c r="M47" s="83"/>
      <c r="N47" s="78" t="s">
        <v>454</v>
      </c>
    </row>
    <row r="48" spans="2:25" ht="165">
      <c r="B48" s="81" t="s">
        <v>19</v>
      </c>
      <c r="C48" s="81" t="s">
        <v>18</v>
      </c>
      <c r="D48" s="81" t="s">
        <v>20</v>
      </c>
      <c r="E48" s="82" t="s">
        <v>452</v>
      </c>
      <c r="F48" s="82" t="s">
        <v>358</v>
      </c>
      <c r="G48" s="19" t="str">
        <f t="shared" si="10"/>
        <v>M2T</v>
      </c>
      <c r="H48" s="19" t="str">
        <f t="shared" ref="H48:H86" si="12">C48&amp;F48</f>
        <v>M1T</v>
      </c>
      <c r="I48" s="19" t="str">
        <f t="shared" si="11"/>
        <v>M3T</v>
      </c>
      <c r="J48" s="83"/>
      <c r="K48" s="83"/>
      <c r="L48" s="83"/>
      <c r="M48" s="83"/>
      <c r="N48" s="78" t="s">
        <v>455</v>
      </c>
    </row>
    <row r="49" spans="2:14" ht="180">
      <c r="B49" s="81" t="s">
        <v>81</v>
      </c>
      <c r="C49" s="81" t="s">
        <v>18</v>
      </c>
      <c r="D49" s="81" t="s">
        <v>91</v>
      </c>
      <c r="E49" s="82" t="s">
        <v>452</v>
      </c>
      <c r="F49" s="82" t="s">
        <v>358</v>
      </c>
      <c r="G49" s="19" t="str">
        <f t="shared" si="10"/>
        <v>E2T</v>
      </c>
      <c r="H49" s="19" t="str">
        <f t="shared" si="12"/>
        <v>M1T</v>
      </c>
      <c r="I49" s="19" t="str">
        <f t="shared" si="11"/>
        <v>E3T</v>
      </c>
      <c r="J49" s="83"/>
      <c r="K49" s="83"/>
      <c r="L49" s="83"/>
      <c r="M49" s="83"/>
      <c r="N49" s="78" t="s">
        <v>456</v>
      </c>
    </row>
    <row r="50" spans="2:14" ht="180">
      <c r="B50" s="81" t="s">
        <v>89</v>
      </c>
      <c r="C50" s="81" t="s">
        <v>18</v>
      </c>
      <c r="D50" s="81" t="s">
        <v>97</v>
      </c>
      <c r="E50" s="82" t="s">
        <v>452</v>
      </c>
      <c r="F50" s="82" t="s">
        <v>358</v>
      </c>
      <c r="G50" s="19" t="str">
        <f t="shared" si="10"/>
        <v>S2T</v>
      </c>
      <c r="H50" s="19" t="str">
        <f t="shared" si="12"/>
        <v>M1T</v>
      </c>
      <c r="I50" s="19" t="str">
        <f t="shared" si="11"/>
        <v>S3T</v>
      </c>
      <c r="J50" s="83"/>
      <c r="K50" s="83"/>
      <c r="L50" s="83"/>
      <c r="M50" s="83"/>
      <c r="N50" s="78" t="s">
        <v>456</v>
      </c>
    </row>
    <row r="51" spans="2:14" ht="180">
      <c r="B51" s="81" t="s">
        <v>90</v>
      </c>
      <c r="C51" s="81" t="s">
        <v>18</v>
      </c>
      <c r="D51" s="81" t="s">
        <v>98</v>
      </c>
      <c r="E51" s="82" t="s">
        <v>452</v>
      </c>
      <c r="F51" s="82" t="s">
        <v>358</v>
      </c>
      <c r="G51" s="19" t="str">
        <f t="shared" si="10"/>
        <v>G2T</v>
      </c>
      <c r="H51" s="19" t="str">
        <f t="shared" si="12"/>
        <v>M1T</v>
      </c>
      <c r="I51" s="19" t="str">
        <f t="shared" si="11"/>
        <v>G3T</v>
      </c>
      <c r="J51" s="83"/>
      <c r="K51" s="83"/>
      <c r="L51" s="83"/>
      <c r="M51" s="83"/>
      <c r="N51" s="78" t="s">
        <v>456</v>
      </c>
    </row>
    <row r="52" spans="2:14" ht="180">
      <c r="B52" s="81" t="s">
        <v>20</v>
      </c>
      <c r="C52" s="81" t="s">
        <v>19</v>
      </c>
      <c r="D52" s="81" t="s">
        <v>21</v>
      </c>
      <c r="E52" s="82" t="s">
        <v>452</v>
      </c>
      <c r="F52" s="82" t="s">
        <v>358</v>
      </c>
      <c r="G52" s="19" t="str">
        <f t="shared" si="10"/>
        <v>M3T</v>
      </c>
      <c r="H52" s="19" t="str">
        <f t="shared" si="12"/>
        <v>M2T</v>
      </c>
      <c r="I52" s="19" t="str">
        <f t="shared" si="11"/>
        <v>M4T</v>
      </c>
      <c r="J52" s="83"/>
      <c r="K52" s="83"/>
      <c r="L52" s="83"/>
      <c r="M52" s="83"/>
      <c r="N52" s="78" t="s">
        <v>457</v>
      </c>
    </row>
    <row r="53" spans="2:14" ht="165">
      <c r="B53" s="81" t="s">
        <v>91</v>
      </c>
      <c r="C53" s="81" t="s">
        <v>81</v>
      </c>
      <c r="D53" s="81" t="s">
        <v>99</v>
      </c>
      <c r="E53" s="82" t="s">
        <v>452</v>
      </c>
      <c r="F53" s="82" t="s">
        <v>358</v>
      </c>
      <c r="G53" s="19" t="str">
        <f t="shared" si="10"/>
        <v>E3T</v>
      </c>
      <c r="H53" s="19" t="str">
        <f t="shared" si="12"/>
        <v>E2T</v>
      </c>
      <c r="I53" s="19" t="str">
        <f t="shared" si="11"/>
        <v>E4T</v>
      </c>
      <c r="J53" s="83"/>
      <c r="K53" s="83"/>
      <c r="L53" s="83"/>
      <c r="M53" s="83"/>
      <c r="N53" s="78" t="s">
        <v>458</v>
      </c>
    </row>
    <row r="54" spans="2:14" ht="165">
      <c r="B54" s="81" t="s">
        <v>97</v>
      </c>
      <c r="C54" s="81" t="s">
        <v>89</v>
      </c>
      <c r="D54" s="81" t="s">
        <v>103</v>
      </c>
      <c r="E54" s="82" t="s">
        <v>452</v>
      </c>
      <c r="F54" s="82" t="s">
        <v>358</v>
      </c>
      <c r="G54" s="19" t="str">
        <f t="shared" si="10"/>
        <v>S3T</v>
      </c>
      <c r="H54" s="19" t="str">
        <f t="shared" si="12"/>
        <v>S2T</v>
      </c>
      <c r="I54" s="19" t="str">
        <f t="shared" si="11"/>
        <v>S4T</v>
      </c>
      <c r="J54" s="83"/>
      <c r="K54" s="83"/>
      <c r="L54" s="83"/>
      <c r="M54" s="83"/>
      <c r="N54" s="78" t="s">
        <v>458</v>
      </c>
    </row>
    <row r="55" spans="2:14" ht="202.5" customHeight="1">
      <c r="B55" s="81" t="s">
        <v>98</v>
      </c>
      <c r="C55" s="81" t="s">
        <v>90</v>
      </c>
      <c r="D55" s="81" t="s">
        <v>104</v>
      </c>
      <c r="E55" s="82" t="s">
        <v>452</v>
      </c>
      <c r="F55" s="82" t="s">
        <v>358</v>
      </c>
      <c r="G55" s="19" t="str">
        <f t="shared" si="10"/>
        <v>G3T</v>
      </c>
      <c r="H55" s="19" t="str">
        <f t="shared" si="12"/>
        <v>G2T</v>
      </c>
      <c r="I55" s="19" t="str">
        <f t="shared" si="11"/>
        <v>G4T</v>
      </c>
      <c r="J55" s="83"/>
      <c r="K55" s="83"/>
      <c r="L55" s="83"/>
      <c r="M55" s="83"/>
      <c r="N55" s="78" t="s">
        <v>458</v>
      </c>
    </row>
    <row r="56" spans="2:14" ht="188.55" customHeight="1">
      <c r="B56" s="81" t="s">
        <v>21</v>
      </c>
      <c r="C56" s="81" t="s">
        <v>20</v>
      </c>
      <c r="D56" s="81" t="s">
        <v>22</v>
      </c>
      <c r="E56" s="82" t="s">
        <v>452</v>
      </c>
      <c r="F56" s="82" t="s">
        <v>358</v>
      </c>
      <c r="G56" s="19" t="str">
        <f t="shared" si="10"/>
        <v>M4T</v>
      </c>
      <c r="H56" s="19" t="str">
        <f t="shared" si="12"/>
        <v>M3T</v>
      </c>
      <c r="I56" s="19" t="str">
        <f t="shared" si="11"/>
        <v>M5T</v>
      </c>
      <c r="J56" s="83"/>
      <c r="K56" s="83"/>
      <c r="L56" s="83"/>
      <c r="M56" s="83"/>
      <c r="N56" s="78" t="s">
        <v>459</v>
      </c>
    </row>
    <row r="57" spans="2:14" ht="180">
      <c r="B57" s="81" t="s">
        <v>99</v>
      </c>
      <c r="C57" s="81" t="s">
        <v>91</v>
      </c>
      <c r="D57" s="81" t="s">
        <v>37</v>
      </c>
      <c r="E57" s="82" t="s">
        <v>452</v>
      </c>
      <c r="F57" s="82" t="s">
        <v>358</v>
      </c>
      <c r="G57" s="19" t="str">
        <f t="shared" si="10"/>
        <v>E4T</v>
      </c>
      <c r="H57" s="19" t="str">
        <f t="shared" si="12"/>
        <v>E3T</v>
      </c>
      <c r="I57" s="19" t="str">
        <f t="shared" si="11"/>
        <v>E5T</v>
      </c>
      <c r="J57" s="83"/>
      <c r="K57" s="83"/>
      <c r="L57" s="83"/>
      <c r="M57" s="83"/>
      <c r="N57" s="78" t="s">
        <v>460</v>
      </c>
    </row>
    <row r="58" spans="2:14" ht="202.5" customHeight="1">
      <c r="B58" s="81" t="s">
        <v>103</v>
      </c>
      <c r="C58" s="81" t="s">
        <v>97</v>
      </c>
      <c r="D58" s="81" t="s">
        <v>106</v>
      </c>
      <c r="E58" s="82" t="s">
        <v>452</v>
      </c>
      <c r="F58" s="82" t="s">
        <v>358</v>
      </c>
      <c r="G58" s="19" t="str">
        <f t="shared" si="10"/>
        <v>S4T</v>
      </c>
      <c r="H58" s="19" t="str">
        <f t="shared" si="12"/>
        <v>S3T</v>
      </c>
      <c r="I58" s="19" t="str">
        <f t="shared" si="11"/>
        <v>S5T</v>
      </c>
      <c r="J58" s="83"/>
      <c r="K58" s="83"/>
      <c r="L58" s="83"/>
      <c r="M58" s="83"/>
      <c r="N58" s="78" t="s">
        <v>460</v>
      </c>
    </row>
    <row r="59" spans="2:14" ht="204" customHeight="1">
      <c r="B59" s="81" t="s">
        <v>104</v>
      </c>
      <c r="C59" s="81" t="s">
        <v>98</v>
      </c>
      <c r="D59" s="81" t="s">
        <v>31</v>
      </c>
      <c r="E59" s="82" t="s">
        <v>452</v>
      </c>
      <c r="F59" s="82" t="s">
        <v>358</v>
      </c>
      <c r="G59" s="19" t="str">
        <f t="shared" si="10"/>
        <v>G4T</v>
      </c>
      <c r="H59" s="19" t="str">
        <f t="shared" si="12"/>
        <v>G3T</v>
      </c>
      <c r="I59" s="19" t="str">
        <f t="shared" si="11"/>
        <v>G5T</v>
      </c>
      <c r="J59" s="83"/>
      <c r="K59" s="83"/>
      <c r="L59" s="83"/>
      <c r="M59" s="83"/>
      <c r="N59" s="78" t="s">
        <v>460</v>
      </c>
    </row>
    <row r="60" spans="2:14" ht="150">
      <c r="B60" s="81" t="s">
        <v>22</v>
      </c>
      <c r="C60" s="81" t="s">
        <v>21</v>
      </c>
      <c r="D60" s="81" t="s">
        <v>33</v>
      </c>
      <c r="E60" s="82" t="s">
        <v>452</v>
      </c>
      <c r="F60" s="82" t="s">
        <v>358</v>
      </c>
      <c r="G60" s="19" t="str">
        <f t="shared" si="10"/>
        <v>M5T</v>
      </c>
      <c r="H60" s="19" t="str">
        <f t="shared" si="12"/>
        <v>M4T</v>
      </c>
      <c r="I60" s="19" t="str">
        <f t="shared" si="11"/>
        <v>G6T</v>
      </c>
      <c r="J60" s="83"/>
      <c r="K60" s="83"/>
      <c r="L60" s="83"/>
      <c r="M60" s="83"/>
      <c r="N60" s="78" t="s">
        <v>469</v>
      </c>
    </row>
    <row r="61" spans="2:14" ht="166.95" customHeight="1">
      <c r="B61" s="81" t="s">
        <v>37</v>
      </c>
      <c r="C61" s="81" t="s">
        <v>99</v>
      </c>
      <c r="D61" s="81" t="s">
        <v>273</v>
      </c>
      <c r="E61" s="82" t="s">
        <v>452</v>
      </c>
      <c r="F61" s="82" t="s">
        <v>358</v>
      </c>
      <c r="G61" s="19" t="str">
        <f t="shared" si="10"/>
        <v>E5T</v>
      </c>
      <c r="H61" s="19" t="str">
        <f t="shared" si="12"/>
        <v>E4T</v>
      </c>
      <c r="I61" s="19" t="str">
        <f t="shared" si="11"/>
        <v>E6T</v>
      </c>
      <c r="J61" s="83"/>
      <c r="K61" s="83"/>
      <c r="L61" s="83"/>
      <c r="M61" s="83"/>
      <c r="N61" s="141" t="s">
        <v>468</v>
      </c>
    </row>
    <row r="62" spans="2:14" ht="163.95" customHeight="1">
      <c r="B62" s="81" t="s">
        <v>106</v>
      </c>
      <c r="C62" s="81" t="s">
        <v>103</v>
      </c>
      <c r="D62" s="81" t="s">
        <v>113</v>
      </c>
      <c r="E62" s="82" t="s">
        <v>452</v>
      </c>
      <c r="F62" s="82" t="s">
        <v>358</v>
      </c>
      <c r="G62" s="19" t="str">
        <f t="shared" si="10"/>
        <v>S5T</v>
      </c>
      <c r="H62" s="19" t="str">
        <f t="shared" si="12"/>
        <v>S4T</v>
      </c>
      <c r="I62" s="19" t="str">
        <f t="shared" si="11"/>
        <v>S6T</v>
      </c>
      <c r="J62" s="83"/>
      <c r="K62" s="83"/>
      <c r="L62" s="83"/>
      <c r="M62" s="83"/>
      <c r="N62" s="141" t="s">
        <v>468</v>
      </c>
    </row>
    <row r="63" spans="2:14" ht="177" customHeight="1">
      <c r="B63" s="81" t="s">
        <v>31</v>
      </c>
      <c r="C63" s="81" t="s">
        <v>104</v>
      </c>
      <c r="D63" s="81" t="s">
        <v>33</v>
      </c>
      <c r="E63" s="82" t="s">
        <v>452</v>
      </c>
      <c r="F63" s="82" t="s">
        <v>358</v>
      </c>
      <c r="G63" s="19" t="str">
        <f t="shared" si="10"/>
        <v>G5T</v>
      </c>
      <c r="H63" s="19" t="str">
        <f t="shared" si="12"/>
        <v>G4T</v>
      </c>
      <c r="I63" s="19" t="str">
        <f t="shared" si="11"/>
        <v>G6T</v>
      </c>
      <c r="J63" s="83"/>
      <c r="K63" s="83"/>
      <c r="L63" s="83"/>
      <c r="M63" s="83"/>
      <c r="N63" s="141" t="s">
        <v>468</v>
      </c>
    </row>
    <row r="64" spans="2:14" ht="170.55" customHeight="1">
      <c r="B64" s="81" t="s">
        <v>41</v>
      </c>
      <c r="C64" s="81" t="s">
        <v>423</v>
      </c>
      <c r="D64" s="81" t="s">
        <v>42</v>
      </c>
      <c r="E64" s="82" t="s">
        <v>452</v>
      </c>
      <c r="F64" s="82" t="s">
        <v>358</v>
      </c>
      <c r="G64" s="19" t="str">
        <f t="shared" si="10"/>
        <v>P5T</v>
      </c>
      <c r="H64" s="19" t="str">
        <f t="shared" si="12"/>
        <v>P4T</v>
      </c>
      <c r="I64" s="19" t="str">
        <f t="shared" si="11"/>
        <v>P6T</v>
      </c>
      <c r="J64" s="83"/>
      <c r="K64" s="83"/>
      <c r="L64" s="83"/>
      <c r="M64" s="83"/>
      <c r="N64" s="141" t="s">
        <v>468</v>
      </c>
    </row>
    <row r="65" spans="2:14" ht="139.5" customHeight="1">
      <c r="B65" s="81" t="s">
        <v>273</v>
      </c>
      <c r="C65" s="81" t="s">
        <v>37</v>
      </c>
      <c r="D65" s="81" t="s">
        <v>34</v>
      </c>
      <c r="E65" s="82" t="s">
        <v>452</v>
      </c>
      <c r="F65" s="82" t="s">
        <v>358</v>
      </c>
      <c r="G65" s="19" t="str">
        <f t="shared" si="10"/>
        <v>E6T</v>
      </c>
      <c r="H65" s="19" t="str">
        <f t="shared" si="12"/>
        <v>E5T</v>
      </c>
      <c r="I65" s="19" t="str">
        <f t="shared" si="11"/>
        <v>E7T</v>
      </c>
      <c r="J65" s="83"/>
      <c r="K65" s="83"/>
      <c r="L65" s="83"/>
      <c r="M65" s="83"/>
      <c r="N65" s="141" t="s">
        <v>467</v>
      </c>
    </row>
    <row r="66" spans="2:14" ht="139.5" customHeight="1">
      <c r="B66" s="81" t="s">
        <v>113</v>
      </c>
      <c r="C66" s="81" t="s">
        <v>106</v>
      </c>
      <c r="D66" s="81" t="s">
        <v>121</v>
      </c>
      <c r="E66" s="82" t="s">
        <v>452</v>
      </c>
      <c r="F66" s="82" t="s">
        <v>358</v>
      </c>
      <c r="G66" s="19" t="str">
        <f t="shared" si="10"/>
        <v>S6T</v>
      </c>
      <c r="H66" s="19" t="str">
        <f t="shared" si="12"/>
        <v>S5T</v>
      </c>
      <c r="I66" s="19" t="str">
        <f t="shared" si="11"/>
        <v>S7T</v>
      </c>
      <c r="J66" s="83"/>
      <c r="K66" s="83"/>
      <c r="L66" s="83"/>
      <c r="M66" s="83"/>
      <c r="N66" s="141" t="s">
        <v>467</v>
      </c>
    </row>
    <row r="67" spans="2:14" ht="109.2">
      <c r="B67" s="81" t="s">
        <v>33</v>
      </c>
      <c r="C67" s="81" t="s">
        <v>31</v>
      </c>
      <c r="D67" s="81" t="s">
        <v>35</v>
      </c>
      <c r="E67" s="82" t="s">
        <v>452</v>
      </c>
      <c r="F67" s="82" t="s">
        <v>358</v>
      </c>
      <c r="G67" s="19" t="str">
        <f t="shared" si="10"/>
        <v>G6T</v>
      </c>
      <c r="H67" s="19" t="str">
        <f t="shared" si="12"/>
        <v>G5T</v>
      </c>
      <c r="I67" s="19" t="str">
        <f t="shared" si="11"/>
        <v>G7T</v>
      </c>
      <c r="J67" s="83"/>
      <c r="K67" s="83"/>
      <c r="L67" s="83"/>
      <c r="M67" s="83"/>
      <c r="N67" s="141" t="s">
        <v>467</v>
      </c>
    </row>
    <row r="68" spans="2:14" ht="109.2">
      <c r="B68" s="81" t="s">
        <v>42</v>
      </c>
      <c r="C68" s="81" t="s">
        <v>41</v>
      </c>
      <c r="D68" s="81" t="s">
        <v>275</v>
      </c>
      <c r="E68" s="82" t="s">
        <v>452</v>
      </c>
      <c r="F68" s="82" t="s">
        <v>358</v>
      </c>
      <c r="G68" s="19" t="str">
        <f t="shared" si="10"/>
        <v>P6T</v>
      </c>
      <c r="H68" s="19" t="str">
        <f t="shared" si="12"/>
        <v>P5T</v>
      </c>
      <c r="I68" s="19" t="str">
        <f t="shared" si="11"/>
        <v>P7-BT</v>
      </c>
      <c r="J68" s="83"/>
      <c r="K68" s="83"/>
      <c r="L68" s="83"/>
      <c r="M68" s="83"/>
      <c r="N68" s="141" t="s">
        <v>467</v>
      </c>
    </row>
    <row r="69" spans="2:14" ht="109.2">
      <c r="B69" s="81" t="s">
        <v>34</v>
      </c>
      <c r="C69" s="81" t="s">
        <v>273</v>
      </c>
      <c r="D69" s="81" t="s">
        <v>274</v>
      </c>
      <c r="E69" s="82" t="s">
        <v>452</v>
      </c>
      <c r="F69" s="82" t="s">
        <v>358</v>
      </c>
      <c r="G69" s="19" t="str">
        <f t="shared" si="10"/>
        <v>E7T</v>
      </c>
      <c r="H69" s="19" t="str">
        <f t="shared" si="12"/>
        <v>E6T</v>
      </c>
      <c r="I69" s="19" t="str">
        <f t="shared" si="11"/>
        <v>E8T</v>
      </c>
      <c r="J69" s="83"/>
      <c r="K69" s="83"/>
      <c r="L69" s="83"/>
      <c r="M69" s="83"/>
      <c r="N69" s="141" t="s">
        <v>465</v>
      </c>
    </row>
    <row r="70" spans="2:14" ht="109.2">
      <c r="B70" s="81" t="s">
        <v>121</v>
      </c>
      <c r="C70" s="81" t="s">
        <v>113</v>
      </c>
      <c r="D70" s="81" t="s">
        <v>131</v>
      </c>
      <c r="E70" s="82" t="s">
        <v>452</v>
      </c>
      <c r="F70" s="82" t="s">
        <v>358</v>
      </c>
      <c r="G70" s="19" t="str">
        <f t="shared" si="10"/>
        <v>S7T</v>
      </c>
      <c r="H70" s="19" t="str">
        <f t="shared" si="12"/>
        <v>S6T</v>
      </c>
      <c r="I70" s="19" t="str">
        <f t="shared" si="11"/>
        <v>S8T</v>
      </c>
      <c r="J70" s="83"/>
      <c r="K70" s="83"/>
      <c r="L70" s="83"/>
      <c r="M70" s="83"/>
      <c r="N70" s="141" t="s">
        <v>465</v>
      </c>
    </row>
    <row r="71" spans="2:14" ht="109.2">
      <c r="B71" s="81" t="s">
        <v>35</v>
      </c>
      <c r="C71" s="81" t="s">
        <v>33</v>
      </c>
      <c r="D71" s="81" t="s">
        <v>36</v>
      </c>
      <c r="E71" s="82" t="s">
        <v>452</v>
      </c>
      <c r="F71" s="82" t="s">
        <v>358</v>
      </c>
      <c r="G71" s="19" t="str">
        <f t="shared" si="10"/>
        <v>G7T</v>
      </c>
      <c r="H71" s="19" t="str">
        <f t="shared" si="12"/>
        <v>G6T</v>
      </c>
      <c r="I71" s="19" t="str">
        <f t="shared" si="11"/>
        <v>G8T</v>
      </c>
      <c r="J71" s="83"/>
      <c r="K71" s="83"/>
      <c r="L71" s="83"/>
      <c r="M71" s="83"/>
      <c r="N71" s="141" t="s">
        <v>465</v>
      </c>
    </row>
    <row r="72" spans="2:14" ht="109.2">
      <c r="B72" s="81" t="s">
        <v>275</v>
      </c>
      <c r="C72" s="81" t="s">
        <v>42</v>
      </c>
      <c r="D72" s="81" t="s">
        <v>277</v>
      </c>
      <c r="E72" s="82" t="s">
        <v>452</v>
      </c>
      <c r="F72" s="82" t="s">
        <v>358</v>
      </c>
      <c r="G72" s="19" t="str">
        <f t="shared" si="10"/>
        <v>P7-BT</v>
      </c>
      <c r="H72" s="19" t="str">
        <f t="shared" si="12"/>
        <v>P6T</v>
      </c>
      <c r="I72" s="19" t="str">
        <f t="shared" si="11"/>
        <v>P8-BT</v>
      </c>
      <c r="J72" s="83"/>
      <c r="K72" s="83"/>
      <c r="L72" s="83"/>
      <c r="M72" s="83"/>
      <c r="N72" s="141" t="s">
        <v>465</v>
      </c>
    </row>
    <row r="73" spans="2:14" ht="109.2">
      <c r="B73" s="81" t="s">
        <v>276</v>
      </c>
      <c r="C73" s="81" t="s">
        <v>42</v>
      </c>
      <c r="D73" s="81" t="s">
        <v>278</v>
      </c>
      <c r="E73" s="82" t="s">
        <v>452</v>
      </c>
      <c r="F73" s="82" t="s">
        <v>358</v>
      </c>
      <c r="G73" s="19" t="str">
        <f t="shared" si="10"/>
        <v>P7-AT</v>
      </c>
      <c r="H73" s="19" t="str">
        <f t="shared" si="12"/>
        <v>P6T</v>
      </c>
      <c r="I73" s="19" t="str">
        <f t="shared" si="11"/>
        <v>P8-AT</v>
      </c>
      <c r="J73" s="83"/>
      <c r="K73" s="83"/>
      <c r="L73" s="83"/>
      <c r="M73" s="83"/>
      <c r="N73" s="141" t="s">
        <v>465</v>
      </c>
    </row>
    <row r="74" spans="2:14" ht="109.2">
      <c r="B74" s="81" t="s">
        <v>274</v>
      </c>
      <c r="C74" s="81" t="s">
        <v>34</v>
      </c>
      <c r="D74" s="81" t="s">
        <v>43</v>
      </c>
      <c r="E74" s="82" t="s">
        <v>452</v>
      </c>
      <c r="F74" s="82" t="s">
        <v>358</v>
      </c>
      <c r="G74" s="19" t="str">
        <f t="shared" si="10"/>
        <v>E8T</v>
      </c>
      <c r="H74" s="19" t="str">
        <f t="shared" si="12"/>
        <v>E7T</v>
      </c>
      <c r="I74" s="19" t="str">
        <f t="shared" si="11"/>
        <v>G9T</v>
      </c>
      <c r="J74" s="83"/>
      <c r="K74" s="83"/>
      <c r="L74" s="83"/>
      <c r="M74" s="83"/>
      <c r="N74" s="142" t="s">
        <v>466</v>
      </c>
    </row>
    <row r="75" spans="2:14" ht="109.2">
      <c r="B75" s="81" t="s">
        <v>131</v>
      </c>
      <c r="C75" s="81" t="s">
        <v>121</v>
      </c>
      <c r="D75" s="81" t="s">
        <v>43</v>
      </c>
      <c r="E75" s="82" t="s">
        <v>452</v>
      </c>
      <c r="F75" s="82" t="s">
        <v>358</v>
      </c>
      <c r="G75" s="19" t="str">
        <f t="shared" si="10"/>
        <v>S8T</v>
      </c>
      <c r="H75" s="19" t="str">
        <f t="shared" si="12"/>
        <v>S7T</v>
      </c>
      <c r="I75" s="19" t="str">
        <f t="shared" si="11"/>
        <v>G9T</v>
      </c>
      <c r="J75" s="83"/>
      <c r="K75" s="83"/>
      <c r="L75" s="83"/>
      <c r="M75" s="83"/>
      <c r="N75" s="142" t="s">
        <v>466</v>
      </c>
    </row>
    <row r="76" spans="2:14" ht="109.2">
      <c r="B76" s="81" t="s">
        <v>36</v>
      </c>
      <c r="C76" s="81" t="s">
        <v>35</v>
      </c>
      <c r="D76" s="81" t="s">
        <v>43</v>
      </c>
      <c r="E76" s="82" t="s">
        <v>452</v>
      </c>
      <c r="F76" s="82" t="s">
        <v>358</v>
      </c>
      <c r="G76" s="19" t="str">
        <f t="shared" si="10"/>
        <v>G8T</v>
      </c>
      <c r="H76" s="19" t="str">
        <f t="shared" si="12"/>
        <v>G7T</v>
      </c>
      <c r="I76" s="19" t="str">
        <f t="shared" si="11"/>
        <v>G9T</v>
      </c>
      <c r="J76" s="83"/>
      <c r="K76" s="83"/>
      <c r="L76" s="83"/>
      <c r="M76" s="83"/>
      <c r="N76" s="142" t="s">
        <v>466</v>
      </c>
    </row>
    <row r="77" spans="2:14" ht="109.2">
      <c r="B77" s="81" t="s">
        <v>277</v>
      </c>
      <c r="C77" s="81" t="s">
        <v>275</v>
      </c>
      <c r="D77" s="81" t="s">
        <v>279</v>
      </c>
      <c r="E77" s="82" t="s">
        <v>452</v>
      </c>
      <c r="F77" s="82" t="s">
        <v>358</v>
      </c>
      <c r="G77" s="19" t="str">
        <f t="shared" si="10"/>
        <v>P8-BT</v>
      </c>
      <c r="H77" s="19" t="str">
        <f t="shared" si="12"/>
        <v>P7-BT</v>
      </c>
      <c r="I77" s="19" t="str">
        <f t="shared" si="11"/>
        <v>P9-BT</v>
      </c>
      <c r="J77" s="83"/>
      <c r="K77" s="83"/>
      <c r="L77" s="83"/>
      <c r="M77" s="83"/>
      <c r="N77" s="142" t="s">
        <v>466</v>
      </c>
    </row>
    <row r="78" spans="2:14" ht="109.2">
      <c r="B78" s="81" t="s">
        <v>278</v>
      </c>
      <c r="C78" s="81" t="s">
        <v>276</v>
      </c>
      <c r="D78" s="81" t="s">
        <v>280</v>
      </c>
      <c r="E78" s="82" t="s">
        <v>452</v>
      </c>
      <c r="F78" s="82" t="s">
        <v>358</v>
      </c>
      <c r="G78" s="19" t="str">
        <f t="shared" si="10"/>
        <v>P8-AT</v>
      </c>
      <c r="H78" s="19" t="str">
        <f t="shared" si="12"/>
        <v>P7-AT</v>
      </c>
      <c r="I78" s="19" t="str">
        <f t="shared" si="11"/>
        <v>P9-AT</v>
      </c>
      <c r="J78" s="83"/>
      <c r="K78" s="83"/>
      <c r="L78" s="83"/>
      <c r="M78" s="83"/>
      <c r="N78" s="142" t="s">
        <v>466</v>
      </c>
    </row>
    <row r="79" spans="2:14" ht="124.8">
      <c r="B79" s="81" t="s">
        <v>43</v>
      </c>
      <c r="C79" s="81" t="s">
        <v>36</v>
      </c>
      <c r="D79" s="81" t="s">
        <v>146</v>
      </c>
      <c r="E79" s="82" t="s">
        <v>452</v>
      </c>
      <c r="F79" s="82" t="s">
        <v>358</v>
      </c>
      <c r="G79" s="19" t="str">
        <f t="shared" si="10"/>
        <v>G9T</v>
      </c>
      <c r="H79" s="19" t="str">
        <f t="shared" si="12"/>
        <v>G8T</v>
      </c>
      <c r="I79" s="19" t="str">
        <f t="shared" si="11"/>
        <v>G10T</v>
      </c>
      <c r="J79" s="83"/>
      <c r="K79" s="83"/>
      <c r="L79" s="83"/>
      <c r="M79" s="83"/>
      <c r="N79" s="142" t="s">
        <v>463</v>
      </c>
    </row>
    <row r="80" spans="2:14" ht="124.8">
      <c r="B80" s="81" t="s">
        <v>279</v>
      </c>
      <c r="C80" s="81" t="s">
        <v>277</v>
      </c>
      <c r="D80" s="81" t="s">
        <v>281</v>
      </c>
      <c r="E80" s="82" t="s">
        <v>452</v>
      </c>
      <c r="F80" s="82" t="s">
        <v>358</v>
      </c>
      <c r="G80" s="19" t="str">
        <f t="shared" si="10"/>
        <v>P9-BT</v>
      </c>
      <c r="H80" s="19" t="str">
        <f t="shared" si="12"/>
        <v>P8-BT</v>
      </c>
      <c r="I80" s="19" t="str">
        <f t="shared" si="11"/>
        <v>P10-BT</v>
      </c>
      <c r="J80" s="83"/>
      <c r="K80" s="83"/>
      <c r="L80" s="83"/>
      <c r="M80" s="83"/>
      <c r="N80" s="142" t="s">
        <v>463</v>
      </c>
    </row>
    <row r="81" spans="2:21" ht="124.8">
      <c r="B81" s="81" t="s">
        <v>280</v>
      </c>
      <c r="C81" s="81" t="s">
        <v>278</v>
      </c>
      <c r="D81" s="81" t="s">
        <v>282</v>
      </c>
      <c r="E81" s="82" t="s">
        <v>452</v>
      </c>
      <c r="F81" s="82" t="s">
        <v>358</v>
      </c>
      <c r="G81" s="19" t="str">
        <f t="shared" si="10"/>
        <v>P9-AT</v>
      </c>
      <c r="H81" s="19" t="str">
        <f t="shared" si="12"/>
        <v>P8-AT</v>
      </c>
      <c r="I81" s="19" t="str">
        <f t="shared" si="11"/>
        <v>P10-AT</v>
      </c>
      <c r="J81" s="83"/>
      <c r="K81" s="83"/>
      <c r="L81" s="83"/>
      <c r="M81" s="83"/>
      <c r="N81" s="142" t="s">
        <v>463</v>
      </c>
    </row>
    <row r="82" spans="2:21" ht="109.2">
      <c r="B82" s="81" t="s">
        <v>146</v>
      </c>
      <c r="C82" s="81" t="s">
        <v>43</v>
      </c>
      <c r="D82" s="81" t="s">
        <v>283</v>
      </c>
      <c r="E82" s="82" t="s">
        <v>452</v>
      </c>
      <c r="F82" s="82" t="s">
        <v>358</v>
      </c>
      <c r="G82" s="19" t="str">
        <f t="shared" si="10"/>
        <v>G10T</v>
      </c>
      <c r="H82" s="19" t="str">
        <f t="shared" si="12"/>
        <v>G9T</v>
      </c>
      <c r="I82" s="19" t="str">
        <f t="shared" si="11"/>
        <v>G11T</v>
      </c>
      <c r="J82" s="83"/>
      <c r="K82" s="83"/>
      <c r="L82" s="83"/>
      <c r="M82" s="83"/>
      <c r="N82" s="142" t="s">
        <v>461</v>
      </c>
    </row>
    <row r="83" spans="2:21" ht="109.2">
      <c r="B83" s="81" t="s">
        <v>281</v>
      </c>
      <c r="C83" s="81" t="s">
        <v>279</v>
      </c>
      <c r="D83" s="81" t="s">
        <v>284</v>
      </c>
      <c r="E83" s="82" t="s">
        <v>452</v>
      </c>
      <c r="F83" s="82" t="s">
        <v>358</v>
      </c>
      <c r="G83" s="19" t="str">
        <f t="shared" si="10"/>
        <v>P10-BT</v>
      </c>
      <c r="H83" s="19" t="str">
        <f t="shared" si="12"/>
        <v>P9-BT</v>
      </c>
      <c r="I83" s="19" t="str">
        <f t="shared" si="11"/>
        <v>P11T</v>
      </c>
      <c r="J83" s="83"/>
      <c r="K83" s="83"/>
      <c r="L83" s="83"/>
      <c r="M83" s="83"/>
      <c r="N83" s="142" t="s">
        <v>461</v>
      </c>
    </row>
    <row r="84" spans="2:21" ht="109.2">
      <c r="B84" s="81" t="s">
        <v>282</v>
      </c>
      <c r="C84" s="81" t="s">
        <v>280</v>
      </c>
      <c r="D84" s="81" t="s">
        <v>284</v>
      </c>
      <c r="E84" s="82" t="s">
        <v>452</v>
      </c>
      <c r="F84" s="82" t="s">
        <v>358</v>
      </c>
      <c r="G84" s="19" t="str">
        <f t="shared" si="10"/>
        <v>P10-AT</v>
      </c>
      <c r="H84" s="19" t="str">
        <f t="shared" si="12"/>
        <v>P9-AT</v>
      </c>
      <c r="I84" s="19" t="str">
        <f t="shared" si="11"/>
        <v>P11T</v>
      </c>
      <c r="J84" s="83"/>
      <c r="K84" s="83"/>
      <c r="L84" s="83"/>
      <c r="M84" s="83"/>
      <c r="N84" s="142" t="s">
        <v>461</v>
      </c>
    </row>
    <row r="85" spans="2:21" ht="28.8">
      <c r="B85" s="81" t="s">
        <v>283</v>
      </c>
      <c r="C85" s="81" t="s">
        <v>146</v>
      </c>
      <c r="D85" s="81" t="s">
        <v>422</v>
      </c>
      <c r="E85" s="82" t="s">
        <v>452</v>
      </c>
      <c r="F85" s="82" t="s">
        <v>358</v>
      </c>
      <c r="G85" s="19" t="str">
        <f t="shared" si="10"/>
        <v>G11T</v>
      </c>
      <c r="H85" s="19" t="str">
        <f t="shared" si="12"/>
        <v>G10T</v>
      </c>
      <c r="I85" s="19" t="s">
        <v>422</v>
      </c>
      <c r="J85" s="83"/>
      <c r="K85" s="83"/>
      <c r="L85" s="83"/>
      <c r="M85" s="83"/>
      <c r="N85" s="143"/>
    </row>
    <row r="86" spans="2:21" ht="109.2">
      <c r="B86" s="81" t="s">
        <v>284</v>
      </c>
      <c r="C86" s="81" t="s">
        <v>282</v>
      </c>
      <c r="D86" s="81" t="s">
        <v>14</v>
      </c>
      <c r="E86" s="82" t="s">
        <v>452</v>
      </c>
      <c r="F86" s="82" t="s">
        <v>358</v>
      </c>
      <c r="G86" s="19" t="str">
        <f t="shared" si="10"/>
        <v>P11T</v>
      </c>
      <c r="H86" s="19" t="str">
        <f t="shared" si="12"/>
        <v>P10-AT</v>
      </c>
      <c r="I86" s="19" t="s">
        <v>422</v>
      </c>
      <c r="J86" s="83"/>
      <c r="K86" s="83"/>
      <c r="L86" s="83"/>
      <c r="M86" s="83"/>
      <c r="N86" s="142" t="s">
        <v>462</v>
      </c>
    </row>
    <row r="88" spans="2:21" ht="64.05" customHeight="1">
      <c r="P88" s="820" t="s">
        <v>522</v>
      </c>
      <c r="Q88" s="821"/>
      <c r="R88" s="822"/>
      <c r="S88" s="820" t="s">
        <v>523</v>
      </c>
      <c r="T88" s="821"/>
      <c r="U88" s="822"/>
    </row>
    <row r="89" spans="2:21" ht="57.45" customHeight="1">
      <c r="P89" s="153" t="s">
        <v>524</v>
      </c>
      <c r="Q89" s="153" t="s">
        <v>539</v>
      </c>
      <c r="R89" s="137" t="s">
        <v>540</v>
      </c>
      <c r="S89" s="153" t="s">
        <v>524</v>
      </c>
      <c r="T89" s="153" t="s">
        <v>539</v>
      </c>
      <c r="U89" s="137" t="s">
        <v>540</v>
      </c>
    </row>
    <row r="90" spans="2:21">
      <c r="P90" s="823"/>
      <c r="Q90" s="823"/>
      <c r="R90" s="823"/>
      <c r="S90" s="823"/>
      <c r="T90" s="823"/>
      <c r="U90" s="823"/>
    </row>
    <row r="91" spans="2:21">
      <c r="P91" s="824"/>
      <c r="Q91" s="824"/>
      <c r="R91" s="824"/>
      <c r="S91" s="824"/>
      <c r="T91" s="824"/>
      <c r="U91" s="824"/>
    </row>
    <row r="92" spans="2:21">
      <c r="P92" s="824"/>
      <c r="Q92" s="824"/>
      <c r="R92" s="824"/>
      <c r="S92" s="824"/>
      <c r="T92" s="824"/>
      <c r="U92" s="824"/>
    </row>
    <row r="93" spans="2:21">
      <c r="P93" s="825"/>
      <c r="Q93" s="825"/>
      <c r="R93" s="825"/>
      <c r="S93" s="825"/>
      <c r="T93" s="825"/>
      <c r="U93" s="825"/>
    </row>
    <row r="94" spans="2:21" ht="40.049999999999997" customHeight="1">
      <c r="N94" s="146"/>
      <c r="O94" s="149"/>
      <c r="P94" s="154" t="s">
        <v>7</v>
      </c>
      <c r="Q94" s="154" t="s">
        <v>7</v>
      </c>
      <c r="R94" s="138" t="s">
        <v>7</v>
      </c>
      <c r="S94" s="154" t="s">
        <v>7</v>
      </c>
      <c r="T94" s="154" t="s">
        <v>7</v>
      </c>
      <c r="U94" s="138" t="s">
        <v>7</v>
      </c>
    </row>
    <row r="97" spans="14:21" ht="64.05" customHeight="1">
      <c r="P97" s="820" t="s">
        <v>541</v>
      </c>
      <c r="Q97" s="821"/>
      <c r="R97" s="822"/>
      <c r="S97" s="820" t="s">
        <v>542</v>
      </c>
      <c r="T97" s="821"/>
      <c r="U97" s="822"/>
    </row>
    <row r="98" spans="14:21" ht="57.45" customHeight="1">
      <c r="P98" s="153" t="s">
        <v>524</v>
      </c>
      <c r="Q98" s="153" t="s">
        <v>539</v>
      </c>
      <c r="R98" s="137" t="s">
        <v>540</v>
      </c>
      <c r="S98" s="153" t="s">
        <v>524</v>
      </c>
      <c r="T98" s="153" t="s">
        <v>539</v>
      </c>
      <c r="U98" s="137" t="s">
        <v>540</v>
      </c>
    </row>
    <row r="99" spans="14:21">
      <c r="P99" s="823"/>
      <c r="Q99" s="823"/>
      <c r="R99" s="823"/>
      <c r="S99" s="823"/>
      <c r="T99" s="823"/>
      <c r="U99" s="823"/>
    </row>
    <row r="100" spans="14:21">
      <c r="P100" s="824"/>
      <c r="Q100" s="824"/>
      <c r="R100" s="824"/>
      <c r="S100" s="824"/>
      <c r="T100" s="824"/>
      <c r="U100" s="824"/>
    </row>
    <row r="101" spans="14:21">
      <c r="P101" s="824"/>
      <c r="Q101" s="824"/>
      <c r="R101" s="824"/>
      <c r="S101" s="824"/>
      <c r="T101" s="824"/>
      <c r="U101" s="824"/>
    </row>
    <row r="102" spans="14:21">
      <c r="P102" s="825"/>
      <c r="Q102" s="825"/>
      <c r="R102" s="825"/>
      <c r="S102" s="825"/>
      <c r="T102" s="825"/>
      <c r="U102" s="825"/>
    </row>
    <row r="103" spans="14:21" ht="40.049999999999997" customHeight="1">
      <c r="N103" s="146"/>
      <c r="O103" s="149"/>
      <c r="P103" s="154" t="s">
        <v>7</v>
      </c>
      <c r="Q103" s="154" t="s">
        <v>7</v>
      </c>
      <c r="R103" s="138" t="s">
        <v>7</v>
      </c>
      <c r="S103" s="154" t="s">
        <v>7</v>
      </c>
      <c r="T103" s="154" t="s">
        <v>7</v>
      </c>
      <c r="U103" s="138" t="s">
        <v>7</v>
      </c>
    </row>
  </sheetData>
  <mergeCells count="36">
    <mergeCell ref="U99:U102"/>
    <mergeCell ref="P99:P102"/>
    <mergeCell ref="Q99:Q102"/>
    <mergeCell ref="R99:R102"/>
    <mergeCell ref="S99:S102"/>
    <mergeCell ref="T99:T102"/>
    <mergeCell ref="P88:R88"/>
    <mergeCell ref="S88:U88"/>
    <mergeCell ref="P97:R97"/>
    <mergeCell ref="S97:U97"/>
    <mergeCell ref="Q90:Q93"/>
    <mergeCell ref="R90:R93"/>
    <mergeCell ref="U90:U93"/>
    <mergeCell ref="P90:P93"/>
    <mergeCell ref="S90:S93"/>
    <mergeCell ref="T90:T93"/>
    <mergeCell ref="Y4:Y6"/>
    <mergeCell ref="P4:P6"/>
    <mergeCell ref="X4:X6"/>
    <mergeCell ref="Q4:V4"/>
    <mergeCell ref="W4:W6"/>
    <mergeCell ref="R5:U5"/>
    <mergeCell ref="G4:G6"/>
    <mergeCell ref="H4:H6"/>
    <mergeCell ref="I4:I6"/>
    <mergeCell ref="O4:O6"/>
    <mergeCell ref="N4:N6"/>
    <mergeCell ref="J4:J6"/>
    <mergeCell ref="K4:K6"/>
    <mergeCell ref="L4:L6"/>
    <mergeCell ref="M4:M6"/>
    <mergeCell ref="B4:B6"/>
    <mergeCell ref="C4:C6"/>
    <mergeCell ref="D4:D6"/>
    <mergeCell ref="E4:E6"/>
    <mergeCell ref="F4:F6"/>
  </mergeCells>
  <phoneticPr fontId="10"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0B97-BBCA-4B9D-95F9-3B1D87209F00}">
  <sheetPr codeName="Sheet6">
    <tabColor rgb="FFC00000"/>
    <pageSetUpPr fitToPage="1"/>
  </sheetPr>
  <dimension ref="A1:BI107"/>
  <sheetViews>
    <sheetView showGridLines="0" zoomScale="30" zoomScaleNormal="30" zoomScaleSheetLayoutView="35" workbookViewId="0">
      <selection activeCell="B4" sqref="B4:H4"/>
    </sheetView>
  </sheetViews>
  <sheetFormatPr defaultColWidth="9.26953125" defaultRowHeight="28.8"/>
  <cols>
    <col min="1" max="1" width="14.7265625" style="4" customWidth="1"/>
    <col min="2" max="5" width="13.7265625" style="4" customWidth="1"/>
    <col min="6" max="8" width="17.7265625" style="4" customWidth="1"/>
    <col min="9" max="9" width="18.7265625" style="4" customWidth="1"/>
    <col min="10" max="15" width="16.7265625" style="4" customWidth="1"/>
    <col min="16" max="16" width="14.90625" style="4" bestFit="1" customWidth="1"/>
    <col min="17" max="25" width="14.7265625" style="4" customWidth="1"/>
    <col min="26" max="28" width="17.7265625" style="4" customWidth="1"/>
    <col min="29" max="29" width="18.7265625" style="4" customWidth="1"/>
    <col min="30" max="35" width="16.7265625" style="4" customWidth="1"/>
    <col min="36" max="36" width="15.7265625" style="4" customWidth="1"/>
    <col min="37" max="50" width="13.7265625" style="4" customWidth="1"/>
    <col min="51" max="72" width="4.7265625" style="4" customWidth="1"/>
    <col min="73" max="16384" width="9.26953125" style="4"/>
  </cols>
  <sheetData>
    <row r="1" spans="1:50" s="3" customFormat="1" ht="34.950000000000003" customHeight="1">
      <c r="A1" s="244" t="s">
        <v>162</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6"/>
      <c r="AT1" s="724" t="s">
        <v>36</v>
      </c>
      <c r="AU1" s="724" t="s">
        <v>358</v>
      </c>
      <c r="AV1" s="228" t="str">
        <f>AT1&amp;AU1</f>
        <v>G8T</v>
      </c>
      <c r="AW1" s="228" t="str">
        <f>VLOOKUP($AV$1,'Weight &amp; Grade Def.'!$G$7:$I$86,2,0)</f>
        <v>G7T</v>
      </c>
      <c r="AX1" s="228" t="str">
        <f>VLOOKUP($AV$1,'Weight &amp; Grade Def.'!$G$7:$I$86,3,0)</f>
        <v>G9T</v>
      </c>
    </row>
    <row r="2" spans="1:50" s="3" customFormat="1" ht="34.049999999999997" customHeight="1" thickBot="1">
      <c r="A2" s="247" t="s">
        <v>490</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9"/>
      <c r="AT2" s="725"/>
      <c r="AU2" s="725"/>
      <c r="AV2" s="229"/>
      <c r="AW2" s="229" t="str">
        <f>VLOOKUP($AV$1,'Weight &amp; Grade Def.'!$G$7:$I$86,2,0)</f>
        <v>G7T</v>
      </c>
      <c r="AX2" s="229" t="str">
        <f>VLOOKUP($AV$1,'Weight &amp; Grade Def.'!$G$7:$I$86,2,0)</f>
        <v>G7T</v>
      </c>
    </row>
    <row r="3" spans="1:50" s="3" customFormat="1" ht="30" customHeight="1" thickBot="1">
      <c r="A3" s="105"/>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826" t="s">
        <v>205</v>
      </c>
      <c r="AM3" s="827"/>
      <c r="AN3" s="827"/>
      <c r="AO3" s="827"/>
      <c r="AP3" s="827"/>
      <c r="AQ3" s="827"/>
      <c r="AR3" s="827"/>
      <c r="AS3" s="828"/>
      <c r="AW3" s="50" t="s">
        <v>420</v>
      </c>
      <c r="AX3" s="50" t="s">
        <v>421</v>
      </c>
    </row>
    <row r="4" spans="1:50" ht="30" customHeight="1">
      <c r="A4" s="107" t="s">
        <v>0</v>
      </c>
      <c r="B4" s="829" t="s">
        <v>607</v>
      </c>
      <c r="C4" s="829"/>
      <c r="D4" s="829"/>
      <c r="E4" s="829"/>
      <c r="F4" s="829"/>
      <c r="G4" s="829"/>
      <c r="H4" s="829"/>
      <c r="I4" s="6" t="s">
        <v>491</v>
      </c>
      <c r="J4" s="829">
        <v>1630441</v>
      </c>
      <c r="K4" s="829"/>
      <c r="L4" s="829"/>
      <c r="M4" s="4" t="s">
        <v>1</v>
      </c>
      <c r="N4" s="829" t="s">
        <v>608</v>
      </c>
      <c r="O4" s="829"/>
      <c r="P4" s="829"/>
      <c r="Q4" s="829"/>
      <c r="R4" s="829"/>
      <c r="S4" s="829"/>
      <c r="T4" s="829"/>
      <c r="U4" s="829"/>
      <c r="V4" s="4" t="s">
        <v>185</v>
      </c>
      <c r="X4" s="730" t="str">
        <f>AT1</f>
        <v>G8</v>
      </c>
      <c r="Y4" s="730"/>
      <c r="Z4" s="730"/>
      <c r="AA4" s="730"/>
      <c r="AC4" s="4" t="s">
        <v>13</v>
      </c>
      <c r="AG4" s="829" t="s">
        <v>624</v>
      </c>
      <c r="AH4" s="829"/>
      <c r="AI4" s="829"/>
      <c r="AJ4" s="829"/>
      <c r="AL4" s="756" t="s">
        <v>206</v>
      </c>
      <c r="AM4" s="127" t="s">
        <v>514</v>
      </c>
      <c r="AN4" s="119"/>
      <c r="AO4" s="119"/>
      <c r="AP4" s="119"/>
      <c r="AQ4" s="119"/>
      <c r="AR4" s="113"/>
      <c r="AS4" s="114"/>
      <c r="AW4" s="90"/>
      <c r="AX4" s="90"/>
    </row>
    <row r="5" spans="1:50" ht="30" customHeight="1">
      <c r="A5" s="107" t="s">
        <v>190</v>
      </c>
      <c r="I5" s="4" t="s">
        <v>492</v>
      </c>
      <c r="M5" s="4" t="s">
        <v>191</v>
      </c>
      <c r="V5" s="4" t="s">
        <v>192</v>
      </c>
      <c r="AC5" s="4" t="s">
        <v>199</v>
      </c>
      <c r="AL5" s="757"/>
      <c r="AM5" s="115" t="s">
        <v>515</v>
      </c>
      <c r="AN5" s="120"/>
      <c r="AO5" s="120"/>
      <c r="AP5" s="120"/>
      <c r="AQ5" s="120"/>
      <c r="AR5" s="115"/>
      <c r="AS5" s="116"/>
    </row>
    <row r="6" spans="1:50" s="5" customFormat="1" ht="30" customHeight="1">
      <c r="A6" s="108"/>
      <c r="AL6" s="758" t="s">
        <v>207</v>
      </c>
      <c r="AM6" s="128" t="s">
        <v>513</v>
      </c>
      <c r="AN6" s="121"/>
      <c r="AO6" s="121"/>
      <c r="AP6" s="121"/>
      <c r="AQ6" s="121"/>
      <c r="AR6" s="117"/>
      <c r="AS6" s="118"/>
    </row>
    <row r="7" spans="1:50" ht="30" customHeight="1">
      <c r="A7" s="107" t="s">
        <v>15</v>
      </c>
      <c r="C7" s="829" t="s">
        <v>609</v>
      </c>
      <c r="D7" s="829"/>
      <c r="E7" s="829"/>
      <c r="F7" s="829"/>
      <c r="G7" s="829"/>
      <c r="H7" s="4" t="s">
        <v>186</v>
      </c>
      <c r="L7" s="829" t="s">
        <v>610</v>
      </c>
      <c r="M7" s="829"/>
      <c r="N7" s="829"/>
      <c r="O7" s="829"/>
      <c r="P7" s="829"/>
      <c r="Q7" s="829"/>
      <c r="R7" s="829"/>
      <c r="S7" s="829"/>
      <c r="T7" s="829"/>
      <c r="U7" s="829"/>
      <c r="V7" s="829"/>
      <c r="W7" s="829"/>
      <c r="X7" s="829"/>
      <c r="Z7" s="4" t="s">
        <v>2</v>
      </c>
      <c r="AB7" s="838" t="s">
        <v>625</v>
      </c>
      <c r="AC7" s="829"/>
      <c r="AD7" s="829"/>
      <c r="AE7" s="829"/>
      <c r="AF7" s="4" t="s">
        <v>3</v>
      </c>
      <c r="AI7" s="829" t="s">
        <v>622</v>
      </c>
      <c r="AJ7" s="829"/>
      <c r="AK7" s="4" t="s">
        <v>419</v>
      </c>
      <c r="AL7" s="757"/>
      <c r="AM7" s="115" t="s">
        <v>516</v>
      </c>
      <c r="AN7" s="120"/>
      <c r="AO7" s="120"/>
      <c r="AP7" s="120"/>
      <c r="AQ7" s="120"/>
      <c r="AR7" s="115"/>
      <c r="AS7" s="116"/>
    </row>
    <row r="8" spans="1:50" ht="30" customHeight="1">
      <c r="A8" s="107" t="s">
        <v>195</v>
      </c>
      <c r="H8" s="4" t="s">
        <v>196</v>
      </c>
      <c r="Z8" s="4" t="s">
        <v>193</v>
      </c>
      <c r="AF8" s="4" t="s">
        <v>194</v>
      </c>
      <c r="AL8" s="839" t="s">
        <v>208</v>
      </c>
      <c r="AM8" s="212" t="s">
        <v>510</v>
      </c>
      <c r="AN8" s="213"/>
      <c r="AO8" s="213"/>
      <c r="AP8" s="213"/>
      <c r="AQ8" s="213"/>
      <c r="AR8" s="213"/>
      <c r="AS8" s="214"/>
    </row>
    <row r="9" spans="1:50" s="5" customFormat="1" ht="30" customHeight="1">
      <c r="A9" s="108"/>
      <c r="AL9" s="840"/>
      <c r="AM9" s="215" t="s">
        <v>517</v>
      </c>
      <c r="AN9" s="215"/>
      <c r="AO9" s="215"/>
      <c r="AP9" s="215"/>
      <c r="AQ9" s="215"/>
      <c r="AR9" s="215"/>
      <c r="AS9" s="216"/>
    </row>
    <row r="10" spans="1:50" ht="30" customHeight="1">
      <c r="A10" s="107" t="s">
        <v>187</v>
      </c>
      <c r="C10" s="830" t="s">
        <v>611</v>
      </c>
      <c r="D10" s="830"/>
      <c r="E10" s="830"/>
      <c r="F10" s="830"/>
      <c r="G10" s="830"/>
      <c r="H10" s="830"/>
      <c r="I10" s="830"/>
      <c r="J10" s="830"/>
      <c r="K10" s="830"/>
      <c r="L10" s="830"/>
      <c r="M10" s="830"/>
      <c r="O10" s="4" t="s">
        <v>188</v>
      </c>
      <c r="R10" s="830" t="s">
        <v>612</v>
      </c>
      <c r="S10" s="830"/>
      <c r="T10" s="830"/>
      <c r="U10" s="830"/>
      <c r="V10" s="830"/>
      <c r="W10" s="830"/>
      <c r="X10" s="830"/>
      <c r="Y10" s="830"/>
      <c r="Z10" s="830"/>
      <c r="AA10" s="830"/>
      <c r="AB10" s="830"/>
      <c r="AC10" s="830"/>
      <c r="AD10" s="830"/>
      <c r="AF10" s="4" t="s">
        <v>189</v>
      </c>
      <c r="AI10" s="831" t="s">
        <v>613</v>
      </c>
      <c r="AJ10" s="780"/>
      <c r="AK10" s="5"/>
      <c r="AL10" s="758" t="s">
        <v>209</v>
      </c>
      <c r="AM10" s="128" t="s">
        <v>511</v>
      </c>
      <c r="AN10" s="121"/>
      <c r="AO10" s="121"/>
      <c r="AP10" s="121"/>
      <c r="AQ10" s="121"/>
      <c r="AR10" s="117"/>
      <c r="AS10" s="118"/>
    </row>
    <row r="11" spans="1:50" ht="30" customHeight="1">
      <c r="A11" s="107" t="s">
        <v>197</v>
      </c>
      <c r="O11" s="4" t="s">
        <v>474</v>
      </c>
      <c r="AF11" s="4" t="s">
        <v>198</v>
      </c>
      <c r="AK11" s="5"/>
      <c r="AL11" s="757"/>
      <c r="AM11" s="115" t="s">
        <v>518</v>
      </c>
      <c r="AN11" s="120"/>
      <c r="AO11" s="120"/>
      <c r="AP11" s="120"/>
      <c r="AQ11" s="120"/>
      <c r="AR11" s="115"/>
      <c r="AS11" s="116"/>
    </row>
    <row r="12" spans="1:50" ht="30" customHeight="1">
      <c r="A12" s="107"/>
      <c r="AK12" s="5"/>
      <c r="AL12" s="761" t="s">
        <v>210</v>
      </c>
      <c r="AM12" s="129" t="s">
        <v>512</v>
      </c>
      <c r="AN12" s="125"/>
      <c r="AO12" s="125"/>
      <c r="AP12" s="125"/>
      <c r="AQ12" s="125"/>
      <c r="AR12" s="5"/>
      <c r="AS12" s="109"/>
    </row>
    <row r="13" spans="1:50" ht="30" customHeight="1" thickBot="1">
      <c r="A13" s="110"/>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762"/>
      <c r="AM13" s="111" t="s">
        <v>519</v>
      </c>
      <c r="AN13" s="124"/>
      <c r="AO13" s="124"/>
      <c r="AP13" s="124"/>
      <c r="AQ13" s="124"/>
      <c r="AR13" s="111"/>
      <c r="AS13" s="112"/>
    </row>
    <row r="14" spans="1:50" ht="97.5" customHeight="1"/>
    <row r="15" spans="1:50" s="3" customFormat="1" ht="94.95" customHeight="1">
      <c r="A15" s="832" t="s">
        <v>628</v>
      </c>
      <c r="B15" s="833"/>
      <c r="C15" s="833"/>
      <c r="D15" s="833"/>
      <c r="E15" s="834"/>
      <c r="F15" s="835" t="s">
        <v>630</v>
      </c>
      <c r="G15" s="836"/>
      <c r="H15" s="836"/>
      <c r="I15" s="836"/>
      <c r="J15" s="836"/>
      <c r="K15" s="836"/>
      <c r="L15" s="836"/>
      <c r="M15" s="836"/>
      <c r="N15" s="836"/>
      <c r="O15" s="836"/>
      <c r="P15" s="836"/>
      <c r="Q15" s="836"/>
      <c r="R15" s="836"/>
      <c r="S15" s="836"/>
      <c r="T15" s="836"/>
      <c r="U15" s="836"/>
      <c r="V15" s="836"/>
      <c r="W15" s="836"/>
      <c r="X15" s="836"/>
      <c r="Y15" s="836"/>
      <c r="Z15" s="836"/>
      <c r="AA15" s="836"/>
      <c r="AB15" s="836"/>
      <c r="AC15" s="836"/>
      <c r="AD15" s="836"/>
      <c r="AE15" s="836"/>
      <c r="AF15" s="836"/>
      <c r="AG15" s="837"/>
      <c r="AI15" s="470" t="s">
        <v>521</v>
      </c>
      <c r="AJ15" s="763"/>
      <c r="AK15" s="763"/>
      <c r="AL15" s="763"/>
      <c r="AM15" s="763"/>
      <c r="AN15" s="763"/>
      <c r="AO15" s="763"/>
      <c r="AP15" s="763"/>
      <c r="AQ15" s="763"/>
      <c r="AR15" s="763"/>
      <c r="AS15" s="471"/>
    </row>
    <row r="16" spans="1:50" s="3" customFormat="1" ht="150" customHeight="1">
      <c r="A16" s="832" t="s">
        <v>629</v>
      </c>
      <c r="B16" s="833"/>
      <c r="C16" s="833"/>
      <c r="D16" s="833"/>
      <c r="E16" s="834"/>
      <c r="F16" s="843" t="s">
        <v>627</v>
      </c>
      <c r="G16" s="844"/>
      <c r="H16" s="844"/>
      <c r="I16" s="844"/>
      <c r="J16" s="844"/>
      <c r="K16" s="844"/>
      <c r="L16" s="844"/>
      <c r="M16" s="844"/>
      <c r="N16" s="844"/>
      <c r="O16" s="844"/>
      <c r="P16" s="844"/>
      <c r="Q16" s="844"/>
      <c r="R16" s="844"/>
      <c r="S16" s="844"/>
      <c r="T16" s="844"/>
      <c r="U16" s="844"/>
      <c r="V16" s="844"/>
      <c r="W16" s="844"/>
      <c r="X16" s="844"/>
      <c r="Y16" s="844"/>
      <c r="Z16" s="844"/>
      <c r="AA16" s="844"/>
      <c r="AB16" s="844"/>
      <c r="AC16" s="844"/>
      <c r="AD16" s="844"/>
      <c r="AE16" s="844"/>
      <c r="AF16" s="844"/>
      <c r="AG16" s="845"/>
      <c r="AI16" s="135"/>
      <c r="AS16" s="136"/>
    </row>
    <row r="17" spans="1:45" ht="29.4" thickBot="1">
      <c r="AH17" s="3"/>
      <c r="AI17" s="135"/>
      <c r="AJ17" s="3"/>
      <c r="AK17" s="3"/>
      <c r="AL17" s="3"/>
      <c r="AM17" s="3"/>
      <c r="AN17" s="3"/>
      <c r="AO17" s="3"/>
      <c r="AP17" s="3"/>
      <c r="AQ17" s="3"/>
      <c r="AR17" s="3"/>
      <c r="AS17" s="136"/>
    </row>
    <row r="18" spans="1:45" s="6" customFormat="1" ht="60" customHeight="1">
      <c r="A18" s="731" t="s">
        <v>200</v>
      </c>
      <c r="B18" s="732"/>
      <c r="C18" s="278" t="s">
        <v>202</v>
      </c>
      <c r="D18" s="279"/>
      <c r="E18" s="280"/>
      <c r="F18" s="733" t="str">
        <f>VLOOKUP($F$20,'Weight &amp; Grade Def.'!$B$7:$D$46,2,0)</f>
        <v>G7</v>
      </c>
      <c r="G18" s="726" t="str">
        <f>IFERROR(VLOOKUP($AW$1,'Weight &amp; Grade Def.'!$G$6:$N$86,8,0),"-")</f>
        <v>จัดการกับงานที่ได้รับมอบหมายตามขอบเขตงานให้สำเร็จลุล่วงภายใต้การกำกับดูแลที่จำกัด ; ตรวจสอบ และ แก้ไขปัญหาในระบบปฏิบัติการ หรือ กระบวนการทำงานที่มีอยู่ ณ ปัจจุบัน ; แก้ไขปัญหาในงานที่มีการระบุไว้แล้วอย่างชัดเจนในขอบเขตที่ได้รับมอบหมาย ; อธิบายเกี่ยวกับข้อเท็จจริง แนวปฏิบัติ นโยบายแก่้ผู้มีส่วนเกี่ยวข้องหลักภายในได้ ; ให้คำชี้แนะเกี่ยวกับความรู้ในงานแก่ระดับที่ต่ำกว่า ; มีความรู้เกี่ยวกับงานในเชิงปฏิบัติในขอบเขตงานหนึ่ง</v>
      </c>
      <c r="H18" s="727"/>
      <c r="I18" s="727"/>
      <c r="J18" s="727"/>
      <c r="K18" s="727"/>
      <c r="L18" s="727"/>
      <c r="M18" s="727"/>
      <c r="N18" s="727"/>
      <c r="O18" s="727"/>
      <c r="P18" s="727"/>
      <c r="Q18" s="727"/>
      <c r="R18" s="727"/>
      <c r="S18" s="727"/>
      <c r="T18" s="727"/>
      <c r="U18" s="727"/>
      <c r="V18" s="727"/>
      <c r="W18" s="727"/>
      <c r="X18" s="727"/>
      <c r="Y18" s="727"/>
      <c r="Z18" s="727"/>
      <c r="AA18" s="727"/>
      <c r="AB18" s="727"/>
      <c r="AC18" s="727"/>
      <c r="AD18" s="727"/>
      <c r="AE18" s="727"/>
      <c r="AF18" s="727"/>
      <c r="AG18" s="728"/>
      <c r="AH18" s="3"/>
      <c r="AI18" s="764"/>
      <c r="AJ18" s="765"/>
      <c r="AK18" s="765"/>
      <c r="AL18" s="765"/>
      <c r="AM18" s="765"/>
      <c r="AN18" s="765"/>
      <c r="AO18" s="765"/>
      <c r="AP18" s="765"/>
      <c r="AQ18" s="765"/>
      <c r="AR18" s="765"/>
      <c r="AS18" s="766"/>
    </row>
    <row r="19" spans="1:45" s="6" customFormat="1" ht="60" customHeight="1" thickBot="1">
      <c r="A19" s="463"/>
      <c r="B19" s="464"/>
      <c r="C19" s="281"/>
      <c r="D19" s="282"/>
      <c r="E19" s="283"/>
      <c r="F19" s="734"/>
      <c r="G19" s="729"/>
      <c r="H19" s="334"/>
      <c r="I19" s="334"/>
      <c r="J19" s="334"/>
      <c r="K19" s="334"/>
      <c r="L19" s="334"/>
      <c r="M19" s="334"/>
      <c r="N19" s="334"/>
      <c r="O19" s="334"/>
      <c r="P19" s="334"/>
      <c r="Q19" s="334"/>
      <c r="R19" s="334"/>
      <c r="S19" s="334"/>
      <c r="T19" s="334"/>
      <c r="U19" s="334"/>
      <c r="V19" s="334"/>
      <c r="W19" s="334"/>
      <c r="X19" s="334"/>
      <c r="Y19" s="334"/>
      <c r="Z19" s="334"/>
      <c r="AA19" s="334"/>
      <c r="AB19" s="334"/>
      <c r="AC19" s="334"/>
      <c r="AD19" s="334"/>
      <c r="AE19" s="334"/>
      <c r="AF19" s="334"/>
      <c r="AG19" s="335"/>
      <c r="AH19" s="3"/>
      <c r="AI19" s="472" t="s">
        <v>520</v>
      </c>
      <c r="AJ19" s="776"/>
      <c r="AK19" s="776"/>
      <c r="AL19" s="776"/>
      <c r="AM19" s="776"/>
      <c r="AN19" s="776"/>
      <c r="AO19" s="776"/>
      <c r="AP19" s="776"/>
      <c r="AQ19" s="776"/>
      <c r="AR19" s="776"/>
      <c r="AS19" s="473"/>
    </row>
    <row r="20" spans="1:45" s="6" customFormat="1" ht="60" customHeight="1">
      <c r="A20" s="463"/>
      <c r="B20" s="464"/>
      <c r="C20" s="278" t="s">
        <v>201</v>
      </c>
      <c r="D20" s="279"/>
      <c r="E20" s="280"/>
      <c r="F20" s="841" t="str">
        <f>AT1</f>
        <v>G8</v>
      </c>
      <c r="G20" s="726" t="str">
        <f>IFERROR(VLOOKUP($AV$1,'Weight &amp; Grade Def.'!$G$6:$N$86,8,0),"-")</f>
        <v>จัดการกับงานระดับพื้นฐานที่ได้รับมอบหมายตามขอบเขตงานให้สำเร็จลุล่วงภายใต้การกำกับดูแลทั่วไป ; ตรวจสอบระบบปฏิบัติการ หรือ กระบวนการทำงานที่มีอยู่ ณ ปัจจุบัน ; แก้ไขปัญหาในงานที่มีการระบุไว้แล้วอย่างชัดเจนในขอบเขตที่ได้รับมอบหมาย ; อธิบายเกี่ยวกับข้อเท็จจริง แนวการปฏิบัติ นโยบายแก่้ผู้มีส่วนเกี่ยวข้องหลักภายในได้ ; ให้คำชี้แนะเกี่ยวกับความรู้ในงานแก่ระดับที่ต่ำกว่า ; มีความรู้เกี่ยวกับงานในเชิงทฤษฎีในขอบเขตงานหนึ่ง</v>
      </c>
      <c r="H20" s="727"/>
      <c r="I20" s="727"/>
      <c r="J20" s="727"/>
      <c r="K20" s="727"/>
      <c r="L20" s="727"/>
      <c r="M20" s="727"/>
      <c r="N20" s="727"/>
      <c r="O20" s="727"/>
      <c r="P20" s="727"/>
      <c r="Q20" s="727"/>
      <c r="R20" s="727"/>
      <c r="S20" s="727"/>
      <c r="T20" s="727"/>
      <c r="U20" s="727"/>
      <c r="V20" s="727"/>
      <c r="W20" s="727"/>
      <c r="X20" s="727"/>
      <c r="Y20" s="727"/>
      <c r="Z20" s="727"/>
      <c r="AA20" s="727"/>
      <c r="AB20" s="727"/>
      <c r="AC20" s="727"/>
      <c r="AD20" s="727"/>
      <c r="AE20" s="727"/>
      <c r="AF20" s="727"/>
      <c r="AG20" s="728"/>
      <c r="AH20" s="3"/>
      <c r="AI20" s="135"/>
      <c r="AJ20" s="3"/>
      <c r="AK20" s="3"/>
      <c r="AL20" s="3"/>
      <c r="AM20" s="3"/>
      <c r="AN20" s="3"/>
      <c r="AO20" s="3"/>
      <c r="AP20" s="3"/>
      <c r="AQ20" s="3"/>
      <c r="AR20" s="3"/>
      <c r="AS20" s="136"/>
    </row>
    <row r="21" spans="1:45" s="6" customFormat="1" ht="60" customHeight="1" thickBot="1">
      <c r="A21" s="463"/>
      <c r="B21" s="464"/>
      <c r="C21" s="281"/>
      <c r="D21" s="282"/>
      <c r="E21" s="283"/>
      <c r="F21" s="842"/>
      <c r="G21" s="729"/>
      <c r="H21" s="334"/>
      <c r="I21" s="334"/>
      <c r="J21" s="334"/>
      <c r="K21" s="334"/>
      <c r="L21" s="334"/>
      <c r="M21" s="334"/>
      <c r="N21" s="334"/>
      <c r="O21" s="334"/>
      <c r="P21" s="334"/>
      <c r="Q21" s="334"/>
      <c r="R21" s="334"/>
      <c r="S21" s="334"/>
      <c r="T21" s="334"/>
      <c r="U21" s="334"/>
      <c r="V21" s="334"/>
      <c r="W21" s="334"/>
      <c r="X21" s="334"/>
      <c r="Y21" s="334"/>
      <c r="Z21" s="334"/>
      <c r="AA21" s="334"/>
      <c r="AB21" s="334"/>
      <c r="AC21" s="334"/>
      <c r="AD21" s="334"/>
      <c r="AE21" s="334"/>
      <c r="AF21" s="334"/>
      <c r="AG21" s="335"/>
      <c r="AH21" s="3"/>
      <c r="AI21" s="135"/>
      <c r="AJ21" s="3"/>
      <c r="AK21" s="3"/>
      <c r="AL21" s="3"/>
      <c r="AM21" s="3"/>
      <c r="AN21" s="3"/>
      <c r="AO21" s="3"/>
      <c r="AP21" s="3"/>
      <c r="AQ21" s="3"/>
      <c r="AR21" s="3"/>
      <c r="AS21" s="136"/>
    </row>
    <row r="22" spans="1:45" s="6" customFormat="1" ht="60" customHeight="1">
      <c r="A22" s="463"/>
      <c r="B22" s="464"/>
      <c r="C22" s="278" t="s">
        <v>203</v>
      </c>
      <c r="D22" s="279"/>
      <c r="E22" s="280"/>
      <c r="F22" s="733" t="str">
        <f>VLOOKUP($F$20,'Weight &amp; Grade Def.'!$B$7:$D$46,3,0)</f>
        <v>G9</v>
      </c>
      <c r="G22" s="726" t="str">
        <f>IFERROR(VLOOKUP($AX$1,'Weight &amp; Grade Def.'!$G$6:$N$86,8,0),"-")</f>
        <v>จัดการงานประจำให้สำเร็จลุล่วงภายใต้การกำกับดูแลในระดับปานกลาง ; ปฏิบัติงาน และ ทำการตรวจสอบเพื่อให้เป็นไปตามมาตรฐานการปฏิบัติงานที่มีอยู่ ณ ปัจจุบัน ; หากพบความผิดพลาด หรือเหตุการณ์ที่เกือบทำให้เกิดความผิดพลาดในขอบเขตการทำงานที่รับผิดชอบให้รายงานหัวหน้างานทันที ; ให้ข้อมูลพื้นฐานที่เกี่ยวกับงานที่ตนเองรับผิดชอบ รวมถึงอธิบายข้อเสนอแนะของตนเองแก่ผู้มีส่วนเกี่ยวข้องหลักภายในได้ ; แบ่งปันความรู้ในงานที่ทำกับผู้อื่น ; มีความรู้ และ ประสบการณ์ระดับพื้นฐานในขอบเขตงานหนึ่ง</v>
      </c>
      <c r="H22" s="727"/>
      <c r="I22" s="727"/>
      <c r="J22" s="727"/>
      <c r="K22" s="727"/>
      <c r="L22" s="727"/>
      <c r="M22" s="727"/>
      <c r="N22" s="727"/>
      <c r="O22" s="727"/>
      <c r="P22" s="727"/>
      <c r="Q22" s="727"/>
      <c r="R22" s="727"/>
      <c r="S22" s="727"/>
      <c r="T22" s="727"/>
      <c r="U22" s="727"/>
      <c r="V22" s="727"/>
      <c r="W22" s="727"/>
      <c r="X22" s="727"/>
      <c r="Y22" s="727"/>
      <c r="Z22" s="727"/>
      <c r="AA22" s="727"/>
      <c r="AB22" s="727"/>
      <c r="AC22" s="727"/>
      <c r="AD22" s="727"/>
      <c r="AE22" s="727"/>
      <c r="AF22" s="727"/>
      <c r="AG22" s="728"/>
      <c r="AH22" s="3"/>
      <c r="AI22" s="135"/>
      <c r="AJ22" s="3"/>
      <c r="AK22" s="3"/>
      <c r="AL22" s="3"/>
      <c r="AM22" s="3"/>
      <c r="AN22" s="3"/>
      <c r="AO22" s="3"/>
      <c r="AP22" s="3"/>
      <c r="AQ22" s="3"/>
      <c r="AR22" s="3"/>
      <c r="AS22" s="136"/>
    </row>
    <row r="23" spans="1:45" s="6" customFormat="1" ht="60" customHeight="1" thickBot="1">
      <c r="A23" s="465"/>
      <c r="B23" s="466"/>
      <c r="C23" s="281"/>
      <c r="D23" s="282"/>
      <c r="E23" s="283"/>
      <c r="F23" s="734"/>
      <c r="G23" s="729"/>
      <c r="H23" s="334"/>
      <c r="I23" s="334"/>
      <c r="J23" s="334"/>
      <c r="K23" s="334"/>
      <c r="L23" s="334"/>
      <c r="M23" s="334"/>
      <c r="N23" s="334"/>
      <c r="O23" s="334"/>
      <c r="P23" s="334"/>
      <c r="Q23" s="334"/>
      <c r="R23" s="334"/>
      <c r="S23" s="334"/>
      <c r="T23" s="334"/>
      <c r="U23" s="334"/>
      <c r="V23" s="334"/>
      <c r="W23" s="334"/>
      <c r="X23" s="334"/>
      <c r="Y23" s="334"/>
      <c r="Z23" s="334"/>
      <c r="AA23" s="334"/>
      <c r="AB23" s="334"/>
      <c r="AC23" s="334"/>
      <c r="AD23" s="334"/>
      <c r="AE23" s="334"/>
      <c r="AF23" s="334"/>
      <c r="AG23" s="335"/>
      <c r="AH23" s="3"/>
      <c r="AI23" s="23"/>
      <c r="AJ23" s="24"/>
      <c r="AK23" s="24"/>
      <c r="AL23" s="24"/>
      <c r="AM23" s="24"/>
      <c r="AN23" s="24"/>
      <c r="AO23" s="24"/>
      <c r="AP23" s="24"/>
      <c r="AQ23" s="24"/>
      <c r="AR23" s="24"/>
      <c r="AS23" s="25"/>
    </row>
    <row r="24" spans="1:45" s="6" customFormat="1" ht="30" customHeight="1">
      <c r="A24" s="132"/>
      <c r="B24" s="132"/>
      <c r="C24" s="133"/>
      <c r="D24" s="133"/>
      <c r="E24" s="133"/>
      <c r="F24" s="133"/>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3"/>
      <c r="AI24" s="3"/>
      <c r="AJ24" s="3"/>
      <c r="AK24" s="3"/>
      <c r="AL24" s="3"/>
      <c r="AM24" s="3"/>
      <c r="AN24" s="3"/>
      <c r="AO24" s="3"/>
      <c r="AP24" s="3"/>
      <c r="AQ24" s="3"/>
      <c r="AR24" s="3"/>
      <c r="AS24" s="3"/>
    </row>
    <row r="25" spans="1:45" ht="30" customHeight="1" thickBot="1"/>
    <row r="26" spans="1:45" s="100" customFormat="1" ht="40.049999999999997" customHeight="1" thickBot="1">
      <c r="A26" s="101" t="s">
        <v>493</v>
      </c>
      <c r="B26" s="102"/>
      <c r="C26" s="102"/>
      <c r="D26" s="102"/>
      <c r="E26" s="102"/>
      <c r="F26" s="102"/>
      <c r="G26" s="102"/>
      <c r="H26" s="103"/>
      <c r="I26" s="103"/>
      <c r="J26" s="103"/>
      <c r="K26" s="147">
        <f>VLOOKUP($AT$1,'Weight &amp; Grade Def.'!$B$7:$M$46,10,0)</f>
        <v>60</v>
      </c>
      <c r="L26" s="102" t="s">
        <v>503</v>
      </c>
      <c r="M26" s="103"/>
      <c r="N26" s="103"/>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4"/>
    </row>
    <row r="27" spans="1:4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row>
    <row r="28" spans="1:45" s="3" customFormat="1" ht="67.95" customHeight="1">
      <c r="A28" s="695" t="s">
        <v>505</v>
      </c>
      <c r="B28" s="846" t="s">
        <v>504</v>
      </c>
      <c r="C28" s="847"/>
      <c r="D28" s="847"/>
      <c r="E28" s="848"/>
      <c r="F28" s="557" t="s">
        <v>500</v>
      </c>
      <c r="G28" s="558"/>
      <c r="H28" s="558"/>
      <c r="I28" s="558"/>
      <c r="J28" s="558"/>
      <c r="K28" s="558"/>
      <c r="L28" s="558"/>
      <c r="M28" s="558"/>
      <c r="N28" s="558"/>
      <c r="O28" s="558"/>
      <c r="P28" s="558"/>
      <c r="Q28" s="558"/>
      <c r="R28" s="558"/>
      <c r="S28" s="558"/>
      <c r="T28" s="558"/>
      <c r="U28" s="558"/>
      <c r="V28" s="558"/>
      <c r="W28" s="558"/>
      <c r="X28" s="558"/>
      <c r="Y28" s="559"/>
      <c r="Z28" s="356" t="s">
        <v>618</v>
      </c>
      <c r="AA28" s="543"/>
      <c r="AB28" s="543"/>
      <c r="AC28" s="543"/>
      <c r="AD28" s="543"/>
      <c r="AE28" s="543"/>
      <c r="AF28" s="543"/>
      <c r="AG28" s="543"/>
      <c r="AH28" s="543"/>
      <c r="AI28" s="543"/>
      <c r="AJ28" s="543"/>
      <c r="AK28" s="543"/>
      <c r="AL28" s="543"/>
      <c r="AM28" s="543"/>
      <c r="AN28" s="543"/>
      <c r="AO28" s="543"/>
      <c r="AP28" s="543"/>
      <c r="AQ28" s="543"/>
      <c r="AR28" s="543"/>
      <c r="AS28" s="544"/>
    </row>
    <row r="29" spans="1:45" ht="67.95" customHeight="1">
      <c r="A29" s="696"/>
      <c r="B29" s="849"/>
      <c r="C29" s="850"/>
      <c r="D29" s="850"/>
      <c r="E29" s="851"/>
      <c r="F29" s="636" t="s">
        <v>614</v>
      </c>
      <c r="G29" s="637"/>
      <c r="H29" s="638"/>
      <c r="I29" s="645" t="s">
        <v>615</v>
      </c>
      <c r="J29" s="636" t="s">
        <v>616</v>
      </c>
      <c r="K29" s="637"/>
      <c r="L29" s="638"/>
      <c r="M29" s="648" t="s">
        <v>617</v>
      </c>
      <c r="N29" s="649"/>
      <c r="O29" s="650"/>
      <c r="P29" s="645" t="s">
        <v>506</v>
      </c>
      <c r="Q29" s="557" t="s">
        <v>261</v>
      </c>
      <c r="R29" s="558"/>
      <c r="S29" s="559"/>
      <c r="T29" s="557" t="s">
        <v>477</v>
      </c>
      <c r="U29" s="558"/>
      <c r="V29" s="559"/>
      <c r="W29" s="557" t="s">
        <v>478</v>
      </c>
      <c r="X29" s="558"/>
      <c r="Y29" s="559"/>
      <c r="Z29" s="545" t="s">
        <v>614</v>
      </c>
      <c r="AA29" s="546"/>
      <c r="AB29" s="547"/>
      <c r="AC29" s="554" t="s">
        <v>615</v>
      </c>
      <c r="AD29" s="545" t="s">
        <v>616</v>
      </c>
      <c r="AE29" s="546"/>
      <c r="AF29" s="547"/>
      <c r="AG29" s="568" t="s">
        <v>617</v>
      </c>
      <c r="AH29" s="569"/>
      <c r="AI29" s="570"/>
      <c r="AJ29" s="554" t="s">
        <v>506</v>
      </c>
      <c r="AK29" s="356" t="s">
        <v>261</v>
      </c>
      <c r="AL29" s="543"/>
      <c r="AM29" s="544"/>
      <c r="AN29" s="356" t="s">
        <v>477</v>
      </c>
      <c r="AO29" s="543"/>
      <c r="AP29" s="544"/>
      <c r="AQ29" s="356" t="s">
        <v>478</v>
      </c>
      <c r="AR29" s="543"/>
      <c r="AS29" s="544"/>
    </row>
    <row r="30" spans="1:45" ht="60" customHeight="1">
      <c r="A30" s="696"/>
      <c r="B30" s="849"/>
      <c r="C30" s="850"/>
      <c r="D30" s="850"/>
      <c r="E30" s="851"/>
      <c r="F30" s="639"/>
      <c r="G30" s="640"/>
      <c r="H30" s="641"/>
      <c r="I30" s="646"/>
      <c r="J30" s="639"/>
      <c r="K30" s="640"/>
      <c r="L30" s="641"/>
      <c r="M30" s="651"/>
      <c r="N30" s="652"/>
      <c r="O30" s="653"/>
      <c r="P30" s="646"/>
      <c r="Q30" s="226" t="s">
        <v>9</v>
      </c>
      <c r="R30" s="560" t="s">
        <v>501</v>
      </c>
      <c r="S30" s="561"/>
      <c r="T30" s="226" t="s">
        <v>9</v>
      </c>
      <c r="U30" s="560" t="s">
        <v>501</v>
      </c>
      <c r="V30" s="561"/>
      <c r="W30" s="226" t="s">
        <v>9</v>
      </c>
      <c r="X30" s="560" t="s">
        <v>501</v>
      </c>
      <c r="Y30" s="561"/>
      <c r="Z30" s="548"/>
      <c r="AA30" s="549"/>
      <c r="AB30" s="550"/>
      <c r="AC30" s="555"/>
      <c r="AD30" s="548"/>
      <c r="AE30" s="549"/>
      <c r="AF30" s="550"/>
      <c r="AG30" s="571"/>
      <c r="AH30" s="572"/>
      <c r="AI30" s="573"/>
      <c r="AJ30" s="555"/>
      <c r="AK30" s="69" t="s">
        <v>9</v>
      </c>
      <c r="AL30" s="564" t="s">
        <v>501</v>
      </c>
      <c r="AM30" s="565"/>
      <c r="AN30" s="69" t="s">
        <v>9</v>
      </c>
      <c r="AO30" s="564" t="s">
        <v>501</v>
      </c>
      <c r="AP30" s="565"/>
      <c r="AQ30" s="69" t="s">
        <v>9</v>
      </c>
      <c r="AR30" s="564" t="s">
        <v>501</v>
      </c>
      <c r="AS30" s="565"/>
    </row>
    <row r="31" spans="1:45" ht="60" customHeight="1">
      <c r="A31" s="697"/>
      <c r="B31" s="852"/>
      <c r="C31" s="853"/>
      <c r="D31" s="853"/>
      <c r="E31" s="854"/>
      <c r="F31" s="642"/>
      <c r="G31" s="643"/>
      <c r="H31" s="644"/>
      <c r="I31" s="647"/>
      <c r="J31" s="642"/>
      <c r="K31" s="643"/>
      <c r="L31" s="644"/>
      <c r="M31" s="654"/>
      <c r="N31" s="655"/>
      <c r="O31" s="656"/>
      <c r="P31" s="647"/>
      <c r="Q31" s="227" t="s">
        <v>214</v>
      </c>
      <c r="R31" s="562"/>
      <c r="S31" s="563"/>
      <c r="T31" s="227" t="s">
        <v>214</v>
      </c>
      <c r="U31" s="562"/>
      <c r="V31" s="563"/>
      <c r="W31" s="227" t="s">
        <v>214</v>
      </c>
      <c r="X31" s="562"/>
      <c r="Y31" s="563"/>
      <c r="Z31" s="551"/>
      <c r="AA31" s="552"/>
      <c r="AB31" s="553"/>
      <c r="AC31" s="556"/>
      <c r="AD31" s="551"/>
      <c r="AE31" s="552"/>
      <c r="AF31" s="553"/>
      <c r="AG31" s="339"/>
      <c r="AH31" s="340"/>
      <c r="AI31" s="341"/>
      <c r="AJ31" s="556"/>
      <c r="AK31" s="38" t="s">
        <v>214</v>
      </c>
      <c r="AL31" s="566"/>
      <c r="AM31" s="567"/>
      <c r="AN31" s="38" t="s">
        <v>214</v>
      </c>
      <c r="AO31" s="566"/>
      <c r="AP31" s="567"/>
      <c r="AQ31" s="38" t="s">
        <v>214</v>
      </c>
      <c r="AR31" s="566"/>
      <c r="AS31" s="567"/>
    </row>
    <row r="32" spans="1:45" ht="22.05" customHeight="1">
      <c r="A32" s="855" t="s">
        <v>494</v>
      </c>
      <c r="B32" s="489" t="s">
        <v>626</v>
      </c>
      <c r="C32" s="490"/>
      <c r="D32" s="490"/>
      <c r="E32" s="491"/>
      <c r="F32" s="489"/>
      <c r="G32" s="490"/>
      <c r="H32" s="491"/>
      <c r="I32" s="486"/>
      <c r="J32" s="516" t="s">
        <v>623</v>
      </c>
      <c r="K32" s="517"/>
      <c r="L32" s="518"/>
      <c r="M32" s="489"/>
      <c r="N32" s="490"/>
      <c r="O32" s="491"/>
      <c r="P32" s="858">
        <v>0.3</v>
      </c>
      <c r="Q32" s="630">
        <v>5</v>
      </c>
      <c r="R32" s="861"/>
      <c r="S32" s="862"/>
      <c r="T32" s="630">
        <v>5</v>
      </c>
      <c r="U32" s="510"/>
      <c r="V32" s="511"/>
      <c r="W32" s="630">
        <v>5</v>
      </c>
      <c r="X32" s="510"/>
      <c r="Y32" s="511"/>
      <c r="Z32" s="489"/>
      <c r="AA32" s="490"/>
      <c r="AB32" s="491"/>
      <c r="AC32" s="486"/>
      <c r="AD32" s="516" t="s">
        <v>6</v>
      </c>
      <c r="AE32" s="517"/>
      <c r="AF32" s="518"/>
      <c r="AG32" s="489"/>
      <c r="AH32" s="490"/>
      <c r="AI32" s="491"/>
      <c r="AJ32" s="858">
        <v>0.2</v>
      </c>
      <c r="AK32" s="507">
        <v>5</v>
      </c>
      <c r="AL32" s="501"/>
      <c r="AM32" s="502"/>
      <c r="AN32" s="507">
        <v>5</v>
      </c>
      <c r="AO32" s="501"/>
      <c r="AP32" s="502"/>
      <c r="AQ32" s="507">
        <v>5</v>
      </c>
      <c r="AR32" s="501"/>
      <c r="AS32" s="502"/>
    </row>
    <row r="33" spans="1:45" ht="22.05" customHeight="1">
      <c r="A33" s="856"/>
      <c r="B33" s="492"/>
      <c r="C33" s="493"/>
      <c r="D33" s="493"/>
      <c r="E33" s="494"/>
      <c r="F33" s="492"/>
      <c r="G33" s="493"/>
      <c r="H33" s="494"/>
      <c r="I33" s="487"/>
      <c r="J33" s="519"/>
      <c r="K33" s="520"/>
      <c r="L33" s="521"/>
      <c r="M33" s="492"/>
      <c r="N33" s="493"/>
      <c r="O33" s="494"/>
      <c r="P33" s="859"/>
      <c r="Q33" s="631"/>
      <c r="R33" s="863"/>
      <c r="S33" s="864"/>
      <c r="T33" s="631"/>
      <c r="U33" s="512"/>
      <c r="V33" s="513"/>
      <c r="W33" s="631"/>
      <c r="X33" s="512"/>
      <c r="Y33" s="513"/>
      <c r="Z33" s="492"/>
      <c r="AA33" s="493"/>
      <c r="AB33" s="494"/>
      <c r="AC33" s="487"/>
      <c r="AD33" s="519"/>
      <c r="AE33" s="520"/>
      <c r="AF33" s="521"/>
      <c r="AG33" s="492"/>
      <c r="AH33" s="493"/>
      <c r="AI33" s="494"/>
      <c r="AJ33" s="859"/>
      <c r="AK33" s="508"/>
      <c r="AL33" s="503"/>
      <c r="AM33" s="504"/>
      <c r="AN33" s="508"/>
      <c r="AO33" s="503"/>
      <c r="AP33" s="504"/>
      <c r="AQ33" s="508"/>
      <c r="AR33" s="503"/>
      <c r="AS33" s="504"/>
    </row>
    <row r="34" spans="1:45" ht="22.05" customHeight="1">
      <c r="A34" s="856"/>
      <c r="B34" s="492"/>
      <c r="C34" s="493"/>
      <c r="D34" s="493"/>
      <c r="E34" s="494"/>
      <c r="F34" s="492"/>
      <c r="G34" s="493"/>
      <c r="H34" s="494"/>
      <c r="I34" s="487"/>
      <c r="J34" s="519"/>
      <c r="K34" s="520"/>
      <c r="L34" s="521"/>
      <c r="M34" s="492"/>
      <c r="N34" s="493"/>
      <c r="O34" s="494"/>
      <c r="P34" s="859"/>
      <c r="Q34" s="631"/>
      <c r="R34" s="863"/>
      <c r="S34" s="864"/>
      <c r="T34" s="631"/>
      <c r="U34" s="512"/>
      <c r="V34" s="513"/>
      <c r="W34" s="631"/>
      <c r="X34" s="512"/>
      <c r="Y34" s="513"/>
      <c r="Z34" s="492"/>
      <c r="AA34" s="493"/>
      <c r="AB34" s="494"/>
      <c r="AC34" s="487"/>
      <c r="AD34" s="519"/>
      <c r="AE34" s="520"/>
      <c r="AF34" s="521"/>
      <c r="AG34" s="492"/>
      <c r="AH34" s="493"/>
      <c r="AI34" s="494"/>
      <c r="AJ34" s="859"/>
      <c r="AK34" s="508"/>
      <c r="AL34" s="503"/>
      <c r="AM34" s="504"/>
      <c r="AN34" s="508"/>
      <c r="AO34" s="503"/>
      <c r="AP34" s="504"/>
      <c r="AQ34" s="508"/>
      <c r="AR34" s="503"/>
      <c r="AS34" s="504"/>
    </row>
    <row r="35" spans="1:45" ht="22.05" customHeight="1">
      <c r="A35" s="856"/>
      <c r="B35" s="492"/>
      <c r="C35" s="493"/>
      <c r="D35" s="493"/>
      <c r="E35" s="494"/>
      <c r="F35" s="492"/>
      <c r="G35" s="493"/>
      <c r="H35" s="494"/>
      <c r="I35" s="487"/>
      <c r="J35" s="519"/>
      <c r="K35" s="520"/>
      <c r="L35" s="521"/>
      <c r="M35" s="492"/>
      <c r="N35" s="493"/>
      <c r="O35" s="494"/>
      <c r="P35" s="859"/>
      <c r="Q35" s="631"/>
      <c r="R35" s="863"/>
      <c r="S35" s="864"/>
      <c r="T35" s="631"/>
      <c r="U35" s="512"/>
      <c r="V35" s="513"/>
      <c r="W35" s="631"/>
      <c r="X35" s="512"/>
      <c r="Y35" s="513"/>
      <c r="Z35" s="492"/>
      <c r="AA35" s="493"/>
      <c r="AB35" s="494"/>
      <c r="AC35" s="487"/>
      <c r="AD35" s="519"/>
      <c r="AE35" s="520"/>
      <c r="AF35" s="521"/>
      <c r="AG35" s="492"/>
      <c r="AH35" s="493"/>
      <c r="AI35" s="494"/>
      <c r="AJ35" s="859"/>
      <c r="AK35" s="508"/>
      <c r="AL35" s="503"/>
      <c r="AM35" s="504"/>
      <c r="AN35" s="508"/>
      <c r="AO35" s="503"/>
      <c r="AP35" s="504"/>
      <c r="AQ35" s="508"/>
      <c r="AR35" s="503"/>
      <c r="AS35" s="504"/>
    </row>
    <row r="36" spans="1:45" ht="22.05" customHeight="1">
      <c r="A36" s="856"/>
      <c r="B36" s="492"/>
      <c r="C36" s="493"/>
      <c r="D36" s="493"/>
      <c r="E36" s="494"/>
      <c r="F36" s="492"/>
      <c r="G36" s="493"/>
      <c r="H36" s="494"/>
      <c r="I36" s="487"/>
      <c r="J36" s="519"/>
      <c r="K36" s="520"/>
      <c r="L36" s="521"/>
      <c r="M36" s="492"/>
      <c r="N36" s="493"/>
      <c r="O36" s="494"/>
      <c r="P36" s="859"/>
      <c r="Q36" s="631"/>
      <c r="R36" s="863"/>
      <c r="S36" s="864"/>
      <c r="T36" s="631"/>
      <c r="U36" s="512"/>
      <c r="V36" s="513"/>
      <c r="W36" s="631"/>
      <c r="X36" s="512"/>
      <c r="Y36" s="513"/>
      <c r="Z36" s="492"/>
      <c r="AA36" s="493"/>
      <c r="AB36" s="494"/>
      <c r="AC36" s="487"/>
      <c r="AD36" s="519"/>
      <c r="AE36" s="520"/>
      <c r="AF36" s="521"/>
      <c r="AG36" s="492"/>
      <c r="AH36" s="493"/>
      <c r="AI36" s="494"/>
      <c r="AJ36" s="859"/>
      <c r="AK36" s="508"/>
      <c r="AL36" s="503"/>
      <c r="AM36" s="504"/>
      <c r="AN36" s="508"/>
      <c r="AO36" s="503"/>
      <c r="AP36" s="504"/>
      <c r="AQ36" s="508"/>
      <c r="AR36" s="503"/>
      <c r="AS36" s="504"/>
    </row>
    <row r="37" spans="1:45" ht="22.05" customHeight="1">
      <c r="A37" s="857"/>
      <c r="B37" s="495"/>
      <c r="C37" s="496"/>
      <c r="D37" s="496"/>
      <c r="E37" s="497"/>
      <c r="F37" s="495"/>
      <c r="G37" s="496"/>
      <c r="H37" s="497"/>
      <c r="I37" s="488"/>
      <c r="J37" s="522"/>
      <c r="K37" s="523"/>
      <c r="L37" s="524"/>
      <c r="M37" s="495"/>
      <c r="N37" s="496"/>
      <c r="O37" s="497"/>
      <c r="P37" s="860"/>
      <c r="Q37" s="632"/>
      <c r="R37" s="865"/>
      <c r="S37" s="866"/>
      <c r="T37" s="632"/>
      <c r="U37" s="514"/>
      <c r="V37" s="515"/>
      <c r="W37" s="632"/>
      <c r="X37" s="514"/>
      <c r="Y37" s="515"/>
      <c r="Z37" s="495"/>
      <c r="AA37" s="496"/>
      <c r="AB37" s="497"/>
      <c r="AC37" s="488"/>
      <c r="AD37" s="522"/>
      <c r="AE37" s="523"/>
      <c r="AF37" s="524"/>
      <c r="AG37" s="495"/>
      <c r="AH37" s="496"/>
      <c r="AI37" s="497"/>
      <c r="AJ37" s="860"/>
      <c r="AK37" s="509"/>
      <c r="AL37" s="505"/>
      <c r="AM37" s="506"/>
      <c r="AN37" s="509"/>
      <c r="AO37" s="505"/>
      <c r="AP37" s="506"/>
      <c r="AQ37" s="509"/>
      <c r="AR37" s="505"/>
      <c r="AS37" s="506"/>
    </row>
    <row r="38" spans="1:45" ht="22.05" customHeight="1">
      <c r="A38" s="855" t="s">
        <v>495</v>
      </c>
      <c r="B38" s="489"/>
      <c r="C38" s="490"/>
      <c r="D38" s="490"/>
      <c r="E38" s="491"/>
      <c r="F38" s="489"/>
      <c r="G38" s="490"/>
      <c r="H38" s="491"/>
      <c r="I38" s="486"/>
      <c r="J38" s="516" t="s">
        <v>6</v>
      </c>
      <c r="K38" s="517"/>
      <c r="L38" s="518"/>
      <c r="M38" s="489"/>
      <c r="N38" s="490"/>
      <c r="O38" s="491"/>
      <c r="P38" s="858">
        <v>0.2</v>
      </c>
      <c r="Q38" s="867">
        <v>5</v>
      </c>
      <c r="R38" s="861"/>
      <c r="S38" s="862"/>
      <c r="T38" s="630">
        <v>5</v>
      </c>
      <c r="U38" s="510"/>
      <c r="V38" s="511"/>
      <c r="W38" s="630">
        <v>5</v>
      </c>
      <c r="X38" s="510"/>
      <c r="Y38" s="511"/>
      <c r="Z38" s="489"/>
      <c r="AA38" s="490"/>
      <c r="AB38" s="491"/>
      <c r="AC38" s="486"/>
      <c r="AD38" s="516" t="s">
        <v>6</v>
      </c>
      <c r="AE38" s="517"/>
      <c r="AF38" s="518"/>
      <c r="AG38" s="489"/>
      <c r="AH38" s="490"/>
      <c r="AI38" s="491"/>
      <c r="AJ38" s="858">
        <v>0.2</v>
      </c>
      <c r="AK38" s="507">
        <v>5</v>
      </c>
      <c r="AL38" s="501"/>
      <c r="AM38" s="502"/>
      <c r="AN38" s="507">
        <v>5</v>
      </c>
      <c r="AO38" s="501"/>
      <c r="AP38" s="502"/>
      <c r="AQ38" s="507">
        <v>5</v>
      </c>
      <c r="AR38" s="501"/>
      <c r="AS38" s="502"/>
    </row>
    <row r="39" spans="1:45" ht="22.05" customHeight="1">
      <c r="A39" s="856"/>
      <c r="B39" s="492"/>
      <c r="C39" s="493"/>
      <c r="D39" s="493"/>
      <c r="E39" s="494"/>
      <c r="F39" s="492"/>
      <c r="G39" s="493"/>
      <c r="H39" s="494"/>
      <c r="I39" s="487"/>
      <c r="J39" s="519"/>
      <c r="K39" s="520"/>
      <c r="L39" s="521"/>
      <c r="M39" s="492"/>
      <c r="N39" s="493"/>
      <c r="O39" s="494"/>
      <c r="P39" s="859"/>
      <c r="Q39" s="868"/>
      <c r="R39" s="863"/>
      <c r="S39" s="864"/>
      <c r="T39" s="631"/>
      <c r="U39" s="512"/>
      <c r="V39" s="513"/>
      <c r="W39" s="631"/>
      <c r="X39" s="512"/>
      <c r="Y39" s="513"/>
      <c r="Z39" s="492"/>
      <c r="AA39" s="493"/>
      <c r="AB39" s="494"/>
      <c r="AC39" s="487"/>
      <c r="AD39" s="519"/>
      <c r="AE39" s="520"/>
      <c r="AF39" s="521"/>
      <c r="AG39" s="492"/>
      <c r="AH39" s="493"/>
      <c r="AI39" s="494"/>
      <c r="AJ39" s="859"/>
      <c r="AK39" s="508"/>
      <c r="AL39" s="503"/>
      <c r="AM39" s="504"/>
      <c r="AN39" s="508"/>
      <c r="AO39" s="503"/>
      <c r="AP39" s="504"/>
      <c r="AQ39" s="508"/>
      <c r="AR39" s="503"/>
      <c r="AS39" s="504"/>
    </row>
    <row r="40" spans="1:45" ht="22.05" customHeight="1">
      <c r="A40" s="856"/>
      <c r="B40" s="492"/>
      <c r="C40" s="493"/>
      <c r="D40" s="493"/>
      <c r="E40" s="494"/>
      <c r="F40" s="492"/>
      <c r="G40" s="493"/>
      <c r="H40" s="494"/>
      <c r="I40" s="487"/>
      <c r="J40" s="519"/>
      <c r="K40" s="520"/>
      <c r="L40" s="521"/>
      <c r="M40" s="492"/>
      <c r="N40" s="493"/>
      <c r="O40" s="494"/>
      <c r="P40" s="859"/>
      <c r="Q40" s="868"/>
      <c r="R40" s="863"/>
      <c r="S40" s="864"/>
      <c r="T40" s="631"/>
      <c r="U40" s="512"/>
      <c r="V40" s="513"/>
      <c r="W40" s="631"/>
      <c r="X40" s="512"/>
      <c r="Y40" s="513"/>
      <c r="Z40" s="492"/>
      <c r="AA40" s="493"/>
      <c r="AB40" s="494"/>
      <c r="AC40" s="487"/>
      <c r="AD40" s="519"/>
      <c r="AE40" s="520"/>
      <c r="AF40" s="521"/>
      <c r="AG40" s="492"/>
      <c r="AH40" s="493"/>
      <c r="AI40" s="494"/>
      <c r="AJ40" s="859"/>
      <c r="AK40" s="508"/>
      <c r="AL40" s="503"/>
      <c r="AM40" s="504"/>
      <c r="AN40" s="508"/>
      <c r="AO40" s="503"/>
      <c r="AP40" s="504"/>
      <c r="AQ40" s="508"/>
      <c r="AR40" s="503"/>
      <c r="AS40" s="504"/>
    </row>
    <row r="41" spans="1:45" ht="22.05" customHeight="1">
      <c r="A41" s="856"/>
      <c r="B41" s="492"/>
      <c r="C41" s="493"/>
      <c r="D41" s="493"/>
      <c r="E41" s="494"/>
      <c r="F41" s="492"/>
      <c r="G41" s="493"/>
      <c r="H41" s="494"/>
      <c r="I41" s="487"/>
      <c r="J41" s="519"/>
      <c r="K41" s="520"/>
      <c r="L41" s="521"/>
      <c r="M41" s="492"/>
      <c r="N41" s="493"/>
      <c r="O41" s="494"/>
      <c r="P41" s="859"/>
      <c r="Q41" s="868"/>
      <c r="R41" s="863"/>
      <c r="S41" s="864"/>
      <c r="T41" s="631"/>
      <c r="U41" s="512"/>
      <c r="V41" s="513"/>
      <c r="W41" s="631"/>
      <c r="X41" s="512"/>
      <c r="Y41" s="513"/>
      <c r="Z41" s="492"/>
      <c r="AA41" s="493"/>
      <c r="AB41" s="494"/>
      <c r="AC41" s="487"/>
      <c r="AD41" s="519"/>
      <c r="AE41" s="520"/>
      <c r="AF41" s="521"/>
      <c r="AG41" s="492"/>
      <c r="AH41" s="493"/>
      <c r="AI41" s="494"/>
      <c r="AJ41" s="859"/>
      <c r="AK41" s="508"/>
      <c r="AL41" s="503"/>
      <c r="AM41" s="504"/>
      <c r="AN41" s="508"/>
      <c r="AO41" s="503"/>
      <c r="AP41" s="504"/>
      <c r="AQ41" s="508"/>
      <c r="AR41" s="503"/>
      <c r="AS41" s="504"/>
    </row>
    <row r="42" spans="1:45" ht="22.05" customHeight="1">
      <c r="A42" s="856"/>
      <c r="B42" s="492"/>
      <c r="C42" s="493"/>
      <c r="D42" s="493"/>
      <c r="E42" s="494"/>
      <c r="F42" s="492"/>
      <c r="G42" s="493"/>
      <c r="H42" s="494"/>
      <c r="I42" s="487"/>
      <c r="J42" s="519"/>
      <c r="K42" s="520"/>
      <c r="L42" s="521"/>
      <c r="M42" s="492"/>
      <c r="N42" s="493"/>
      <c r="O42" s="494"/>
      <c r="P42" s="859"/>
      <c r="Q42" s="868"/>
      <c r="R42" s="863"/>
      <c r="S42" s="864"/>
      <c r="T42" s="631"/>
      <c r="U42" s="512"/>
      <c r="V42" s="513"/>
      <c r="W42" s="631"/>
      <c r="X42" s="512"/>
      <c r="Y42" s="513"/>
      <c r="Z42" s="492"/>
      <c r="AA42" s="493"/>
      <c r="AB42" s="494"/>
      <c r="AC42" s="487"/>
      <c r="AD42" s="519"/>
      <c r="AE42" s="520"/>
      <c r="AF42" s="521"/>
      <c r="AG42" s="492"/>
      <c r="AH42" s="493"/>
      <c r="AI42" s="494"/>
      <c r="AJ42" s="859"/>
      <c r="AK42" s="508"/>
      <c r="AL42" s="503"/>
      <c r="AM42" s="504"/>
      <c r="AN42" s="508"/>
      <c r="AO42" s="503"/>
      <c r="AP42" s="504"/>
      <c r="AQ42" s="508"/>
      <c r="AR42" s="503"/>
      <c r="AS42" s="504"/>
    </row>
    <row r="43" spans="1:45" ht="22.05" customHeight="1">
      <c r="A43" s="857"/>
      <c r="B43" s="495"/>
      <c r="C43" s="496"/>
      <c r="D43" s="496"/>
      <c r="E43" s="497"/>
      <c r="F43" s="495"/>
      <c r="G43" s="496"/>
      <c r="H43" s="497"/>
      <c r="I43" s="488"/>
      <c r="J43" s="522"/>
      <c r="K43" s="523"/>
      <c r="L43" s="524"/>
      <c r="M43" s="495"/>
      <c r="N43" s="496"/>
      <c r="O43" s="497"/>
      <c r="P43" s="860"/>
      <c r="Q43" s="869"/>
      <c r="R43" s="865"/>
      <c r="S43" s="866"/>
      <c r="T43" s="632"/>
      <c r="U43" s="514"/>
      <c r="V43" s="515"/>
      <c r="W43" s="632"/>
      <c r="X43" s="514"/>
      <c r="Y43" s="515"/>
      <c r="Z43" s="495"/>
      <c r="AA43" s="496"/>
      <c r="AB43" s="497"/>
      <c r="AC43" s="488"/>
      <c r="AD43" s="522"/>
      <c r="AE43" s="523"/>
      <c r="AF43" s="524"/>
      <c r="AG43" s="495"/>
      <c r="AH43" s="496"/>
      <c r="AI43" s="497"/>
      <c r="AJ43" s="860"/>
      <c r="AK43" s="509"/>
      <c r="AL43" s="505"/>
      <c r="AM43" s="506"/>
      <c r="AN43" s="509"/>
      <c r="AO43" s="505"/>
      <c r="AP43" s="506"/>
      <c r="AQ43" s="509"/>
      <c r="AR43" s="505"/>
      <c r="AS43" s="506"/>
    </row>
    <row r="44" spans="1:45" ht="22.05" customHeight="1">
      <c r="A44" s="855" t="s">
        <v>496</v>
      </c>
      <c r="B44" s="489"/>
      <c r="C44" s="490"/>
      <c r="D44" s="490"/>
      <c r="E44" s="491"/>
      <c r="F44" s="489"/>
      <c r="G44" s="490"/>
      <c r="H44" s="491"/>
      <c r="I44" s="486"/>
      <c r="J44" s="516" t="s">
        <v>6</v>
      </c>
      <c r="K44" s="517"/>
      <c r="L44" s="518"/>
      <c r="M44" s="489"/>
      <c r="N44" s="490"/>
      <c r="O44" s="491"/>
      <c r="P44" s="858">
        <v>0.1</v>
      </c>
      <c r="Q44" s="630">
        <v>5</v>
      </c>
      <c r="R44" s="510"/>
      <c r="S44" s="511"/>
      <c r="T44" s="630">
        <v>5</v>
      </c>
      <c r="U44" s="510"/>
      <c r="V44" s="511"/>
      <c r="W44" s="630">
        <v>5</v>
      </c>
      <c r="X44" s="510"/>
      <c r="Y44" s="511"/>
      <c r="Z44" s="489"/>
      <c r="AA44" s="490"/>
      <c r="AB44" s="491"/>
      <c r="AC44" s="486"/>
      <c r="AD44" s="516" t="s">
        <v>6</v>
      </c>
      <c r="AE44" s="517"/>
      <c r="AF44" s="518"/>
      <c r="AG44" s="489"/>
      <c r="AH44" s="490"/>
      <c r="AI44" s="491"/>
      <c r="AJ44" s="873">
        <v>0.2</v>
      </c>
      <c r="AK44" s="507">
        <v>5</v>
      </c>
      <c r="AL44" s="501"/>
      <c r="AM44" s="502"/>
      <c r="AN44" s="507">
        <v>5</v>
      </c>
      <c r="AO44" s="501"/>
      <c r="AP44" s="502"/>
      <c r="AQ44" s="507">
        <v>5</v>
      </c>
      <c r="AR44" s="501"/>
      <c r="AS44" s="502"/>
    </row>
    <row r="45" spans="1:45" ht="22.05" customHeight="1">
      <c r="A45" s="856"/>
      <c r="B45" s="492"/>
      <c r="C45" s="493"/>
      <c r="D45" s="493"/>
      <c r="E45" s="494"/>
      <c r="F45" s="492"/>
      <c r="G45" s="493"/>
      <c r="H45" s="494"/>
      <c r="I45" s="487"/>
      <c r="J45" s="519"/>
      <c r="K45" s="520"/>
      <c r="L45" s="521"/>
      <c r="M45" s="492"/>
      <c r="N45" s="493"/>
      <c r="O45" s="494"/>
      <c r="P45" s="859"/>
      <c r="Q45" s="631"/>
      <c r="R45" s="512"/>
      <c r="S45" s="513"/>
      <c r="T45" s="631"/>
      <c r="U45" s="512"/>
      <c r="V45" s="513"/>
      <c r="W45" s="631"/>
      <c r="X45" s="512"/>
      <c r="Y45" s="513"/>
      <c r="Z45" s="492"/>
      <c r="AA45" s="493"/>
      <c r="AB45" s="494"/>
      <c r="AC45" s="487"/>
      <c r="AD45" s="519"/>
      <c r="AE45" s="520"/>
      <c r="AF45" s="521"/>
      <c r="AG45" s="492"/>
      <c r="AH45" s="493"/>
      <c r="AI45" s="494"/>
      <c r="AJ45" s="874"/>
      <c r="AK45" s="508"/>
      <c r="AL45" s="503"/>
      <c r="AM45" s="504"/>
      <c r="AN45" s="508"/>
      <c r="AO45" s="503"/>
      <c r="AP45" s="504"/>
      <c r="AQ45" s="508"/>
      <c r="AR45" s="503"/>
      <c r="AS45" s="504"/>
    </row>
    <row r="46" spans="1:45" ht="22.05" customHeight="1">
      <c r="A46" s="856"/>
      <c r="B46" s="492"/>
      <c r="C46" s="493"/>
      <c r="D46" s="493"/>
      <c r="E46" s="494"/>
      <c r="F46" s="492"/>
      <c r="G46" s="493"/>
      <c r="H46" s="494"/>
      <c r="I46" s="487"/>
      <c r="J46" s="519"/>
      <c r="K46" s="520"/>
      <c r="L46" s="521"/>
      <c r="M46" s="492"/>
      <c r="N46" s="493"/>
      <c r="O46" s="494"/>
      <c r="P46" s="859"/>
      <c r="Q46" s="631"/>
      <c r="R46" s="512"/>
      <c r="S46" s="513"/>
      <c r="T46" s="631"/>
      <c r="U46" s="512"/>
      <c r="V46" s="513"/>
      <c r="W46" s="631"/>
      <c r="X46" s="512"/>
      <c r="Y46" s="513"/>
      <c r="Z46" s="492"/>
      <c r="AA46" s="493"/>
      <c r="AB46" s="494"/>
      <c r="AC46" s="487"/>
      <c r="AD46" s="519"/>
      <c r="AE46" s="520"/>
      <c r="AF46" s="521"/>
      <c r="AG46" s="492"/>
      <c r="AH46" s="493"/>
      <c r="AI46" s="494"/>
      <c r="AJ46" s="874"/>
      <c r="AK46" s="508"/>
      <c r="AL46" s="503"/>
      <c r="AM46" s="504"/>
      <c r="AN46" s="508"/>
      <c r="AO46" s="503"/>
      <c r="AP46" s="504"/>
      <c r="AQ46" s="508"/>
      <c r="AR46" s="503"/>
      <c r="AS46" s="504"/>
    </row>
    <row r="47" spans="1:45" ht="22.05" customHeight="1">
      <c r="A47" s="856"/>
      <c r="B47" s="492"/>
      <c r="C47" s="493"/>
      <c r="D47" s="493"/>
      <c r="E47" s="494"/>
      <c r="F47" s="492"/>
      <c r="G47" s="493"/>
      <c r="H47" s="494"/>
      <c r="I47" s="487"/>
      <c r="J47" s="519"/>
      <c r="K47" s="520"/>
      <c r="L47" s="521"/>
      <c r="M47" s="492"/>
      <c r="N47" s="493"/>
      <c r="O47" s="494"/>
      <c r="P47" s="859"/>
      <c r="Q47" s="631"/>
      <c r="R47" s="512"/>
      <c r="S47" s="513"/>
      <c r="T47" s="631"/>
      <c r="U47" s="512"/>
      <c r="V47" s="513"/>
      <c r="W47" s="631"/>
      <c r="X47" s="512"/>
      <c r="Y47" s="513"/>
      <c r="Z47" s="492"/>
      <c r="AA47" s="493"/>
      <c r="AB47" s="494"/>
      <c r="AC47" s="487"/>
      <c r="AD47" s="519"/>
      <c r="AE47" s="520"/>
      <c r="AF47" s="521"/>
      <c r="AG47" s="492"/>
      <c r="AH47" s="493"/>
      <c r="AI47" s="494"/>
      <c r="AJ47" s="874"/>
      <c r="AK47" s="508"/>
      <c r="AL47" s="503"/>
      <c r="AM47" s="504"/>
      <c r="AN47" s="508"/>
      <c r="AO47" s="503"/>
      <c r="AP47" s="504"/>
      <c r="AQ47" s="508"/>
      <c r="AR47" s="503"/>
      <c r="AS47" s="504"/>
    </row>
    <row r="48" spans="1:45" ht="22.05" customHeight="1">
      <c r="A48" s="856"/>
      <c r="B48" s="492"/>
      <c r="C48" s="493"/>
      <c r="D48" s="493"/>
      <c r="E48" s="494"/>
      <c r="F48" s="492"/>
      <c r="G48" s="493"/>
      <c r="H48" s="494"/>
      <c r="I48" s="487"/>
      <c r="J48" s="519"/>
      <c r="K48" s="520"/>
      <c r="L48" s="521"/>
      <c r="M48" s="492"/>
      <c r="N48" s="493"/>
      <c r="O48" s="494"/>
      <c r="P48" s="859"/>
      <c r="Q48" s="631"/>
      <c r="R48" s="512"/>
      <c r="S48" s="513"/>
      <c r="T48" s="631"/>
      <c r="U48" s="512"/>
      <c r="V48" s="513"/>
      <c r="W48" s="631"/>
      <c r="X48" s="512"/>
      <c r="Y48" s="513"/>
      <c r="Z48" s="492"/>
      <c r="AA48" s="493"/>
      <c r="AB48" s="494"/>
      <c r="AC48" s="487"/>
      <c r="AD48" s="519"/>
      <c r="AE48" s="520"/>
      <c r="AF48" s="521"/>
      <c r="AG48" s="492"/>
      <c r="AH48" s="493"/>
      <c r="AI48" s="494"/>
      <c r="AJ48" s="874"/>
      <c r="AK48" s="508"/>
      <c r="AL48" s="503"/>
      <c r="AM48" s="504"/>
      <c r="AN48" s="508"/>
      <c r="AO48" s="503"/>
      <c r="AP48" s="504"/>
      <c r="AQ48" s="508"/>
      <c r="AR48" s="503"/>
      <c r="AS48" s="504"/>
    </row>
    <row r="49" spans="1:61" ht="22.05" customHeight="1">
      <c r="A49" s="857"/>
      <c r="B49" s="495"/>
      <c r="C49" s="496"/>
      <c r="D49" s="496"/>
      <c r="E49" s="497"/>
      <c r="F49" s="495"/>
      <c r="G49" s="496"/>
      <c r="H49" s="497"/>
      <c r="I49" s="488"/>
      <c r="J49" s="522"/>
      <c r="K49" s="523"/>
      <c r="L49" s="524"/>
      <c r="M49" s="495"/>
      <c r="N49" s="496"/>
      <c r="O49" s="497"/>
      <c r="P49" s="860"/>
      <c r="Q49" s="632"/>
      <c r="R49" s="514"/>
      <c r="S49" s="515"/>
      <c r="T49" s="632"/>
      <c r="U49" s="514"/>
      <c r="V49" s="515"/>
      <c r="W49" s="632"/>
      <c r="X49" s="514"/>
      <c r="Y49" s="515"/>
      <c r="Z49" s="495"/>
      <c r="AA49" s="496"/>
      <c r="AB49" s="497"/>
      <c r="AC49" s="488"/>
      <c r="AD49" s="522"/>
      <c r="AE49" s="523"/>
      <c r="AF49" s="524"/>
      <c r="AG49" s="495"/>
      <c r="AH49" s="496"/>
      <c r="AI49" s="497"/>
      <c r="AJ49" s="875"/>
      <c r="AK49" s="509"/>
      <c r="AL49" s="505"/>
      <c r="AM49" s="506"/>
      <c r="AN49" s="509"/>
      <c r="AO49" s="505"/>
      <c r="AP49" s="506"/>
      <c r="AQ49" s="509"/>
      <c r="AR49" s="505"/>
      <c r="AS49" s="506"/>
    </row>
    <row r="50" spans="1:61" ht="22.05" customHeight="1">
      <c r="A50" s="498" t="s">
        <v>497</v>
      </c>
      <c r="B50" s="489"/>
      <c r="C50" s="490"/>
      <c r="D50" s="490"/>
      <c r="E50" s="491"/>
      <c r="F50" s="489"/>
      <c r="G50" s="490"/>
      <c r="H50" s="491"/>
      <c r="I50" s="486"/>
      <c r="J50" s="516" t="s">
        <v>6</v>
      </c>
      <c r="K50" s="517"/>
      <c r="L50" s="518"/>
      <c r="M50" s="489"/>
      <c r="N50" s="490"/>
      <c r="O50" s="491"/>
      <c r="P50" s="870"/>
      <c r="Q50" s="630">
        <v>5</v>
      </c>
      <c r="R50" s="510"/>
      <c r="S50" s="511"/>
      <c r="T50" s="630">
        <v>5</v>
      </c>
      <c r="U50" s="510"/>
      <c r="V50" s="511"/>
      <c r="W50" s="630">
        <v>5</v>
      </c>
      <c r="X50" s="510"/>
      <c r="Y50" s="511"/>
      <c r="Z50" s="489"/>
      <c r="AA50" s="490"/>
      <c r="AB50" s="491"/>
      <c r="AC50" s="486"/>
      <c r="AD50" s="516" t="s">
        <v>6</v>
      </c>
      <c r="AE50" s="517"/>
      <c r="AF50" s="518"/>
      <c r="AG50" s="489"/>
      <c r="AH50" s="490"/>
      <c r="AI50" s="491"/>
      <c r="AJ50" s="876"/>
      <c r="AK50" s="507">
        <v>5</v>
      </c>
      <c r="AL50" s="501"/>
      <c r="AM50" s="502"/>
      <c r="AN50" s="507">
        <v>5</v>
      </c>
      <c r="AO50" s="501"/>
      <c r="AP50" s="502"/>
      <c r="AQ50" s="507">
        <v>5</v>
      </c>
      <c r="AR50" s="501"/>
      <c r="AS50" s="502"/>
    </row>
    <row r="51" spans="1:61" ht="22.05" customHeight="1">
      <c r="A51" s="499"/>
      <c r="B51" s="492"/>
      <c r="C51" s="493"/>
      <c r="D51" s="493"/>
      <c r="E51" s="494"/>
      <c r="F51" s="492"/>
      <c r="G51" s="493"/>
      <c r="H51" s="494"/>
      <c r="I51" s="487"/>
      <c r="J51" s="519"/>
      <c r="K51" s="520"/>
      <c r="L51" s="521"/>
      <c r="M51" s="492"/>
      <c r="N51" s="493"/>
      <c r="O51" s="494"/>
      <c r="P51" s="871"/>
      <c r="Q51" s="631"/>
      <c r="R51" s="512"/>
      <c r="S51" s="513"/>
      <c r="T51" s="631"/>
      <c r="U51" s="512"/>
      <c r="V51" s="513"/>
      <c r="W51" s="631"/>
      <c r="X51" s="512"/>
      <c r="Y51" s="513"/>
      <c r="Z51" s="492"/>
      <c r="AA51" s="493"/>
      <c r="AB51" s="494"/>
      <c r="AC51" s="487"/>
      <c r="AD51" s="519"/>
      <c r="AE51" s="520"/>
      <c r="AF51" s="521"/>
      <c r="AG51" s="492"/>
      <c r="AH51" s="493"/>
      <c r="AI51" s="494"/>
      <c r="AJ51" s="877"/>
      <c r="AK51" s="508"/>
      <c r="AL51" s="503"/>
      <c r="AM51" s="504"/>
      <c r="AN51" s="508"/>
      <c r="AO51" s="503"/>
      <c r="AP51" s="504"/>
      <c r="AQ51" s="508"/>
      <c r="AR51" s="503"/>
      <c r="AS51" s="504"/>
    </row>
    <row r="52" spans="1:61" ht="22.05" customHeight="1">
      <c r="A52" s="499"/>
      <c r="B52" s="492"/>
      <c r="C52" s="493"/>
      <c r="D52" s="493"/>
      <c r="E52" s="494"/>
      <c r="F52" s="492"/>
      <c r="G52" s="493"/>
      <c r="H52" s="494"/>
      <c r="I52" s="487"/>
      <c r="J52" s="519"/>
      <c r="K52" s="520"/>
      <c r="L52" s="521"/>
      <c r="M52" s="492"/>
      <c r="N52" s="493"/>
      <c r="O52" s="494"/>
      <c r="P52" s="871"/>
      <c r="Q52" s="631"/>
      <c r="R52" s="512"/>
      <c r="S52" s="513"/>
      <c r="T52" s="631"/>
      <c r="U52" s="512"/>
      <c r="V52" s="513"/>
      <c r="W52" s="631"/>
      <c r="X52" s="512"/>
      <c r="Y52" s="513"/>
      <c r="Z52" s="492"/>
      <c r="AA52" s="493"/>
      <c r="AB52" s="494"/>
      <c r="AC52" s="487"/>
      <c r="AD52" s="519"/>
      <c r="AE52" s="520"/>
      <c r="AF52" s="521"/>
      <c r="AG52" s="492"/>
      <c r="AH52" s="493"/>
      <c r="AI52" s="494"/>
      <c r="AJ52" s="877"/>
      <c r="AK52" s="508"/>
      <c r="AL52" s="503"/>
      <c r="AM52" s="504"/>
      <c r="AN52" s="508"/>
      <c r="AO52" s="503"/>
      <c r="AP52" s="504"/>
      <c r="AQ52" s="508"/>
      <c r="AR52" s="503"/>
      <c r="AS52" s="504"/>
    </row>
    <row r="53" spans="1:61" ht="22.05" customHeight="1">
      <c r="A53" s="499"/>
      <c r="B53" s="492"/>
      <c r="C53" s="493"/>
      <c r="D53" s="493"/>
      <c r="E53" s="494"/>
      <c r="F53" s="492"/>
      <c r="G53" s="493"/>
      <c r="H53" s="494"/>
      <c r="I53" s="487"/>
      <c r="J53" s="519"/>
      <c r="K53" s="520"/>
      <c r="L53" s="521"/>
      <c r="M53" s="492"/>
      <c r="N53" s="493"/>
      <c r="O53" s="494"/>
      <c r="P53" s="871"/>
      <c r="Q53" s="631"/>
      <c r="R53" s="512"/>
      <c r="S53" s="513"/>
      <c r="T53" s="631"/>
      <c r="U53" s="512"/>
      <c r="V53" s="513"/>
      <c r="W53" s="631"/>
      <c r="X53" s="512"/>
      <c r="Y53" s="513"/>
      <c r="Z53" s="492"/>
      <c r="AA53" s="493"/>
      <c r="AB53" s="494"/>
      <c r="AC53" s="487"/>
      <c r="AD53" s="519"/>
      <c r="AE53" s="520"/>
      <c r="AF53" s="521"/>
      <c r="AG53" s="492"/>
      <c r="AH53" s="493"/>
      <c r="AI53" s="494"/>
      <c r="AJ53" s="877"/>
      <c r="AK53" s="508"/>
      <c r="AL53" s="503"/>
      <c r="AM53" s="504"/>
      <c r="AN53" s="508"/>
      <c r="AO53" s="503"/>
      <c r="AP53" s="504"/>
      <c r="AQ53" s="508"/>
      <c r="AR53" s="503"/>
      <c r="AS53" s="504"/>
    </row>
    <row r="54" spans="1:61" ht="22.05" customHeight="1">
      <c r="A54" s="499"/>
      <c r="B54" s="492"/>
      <c r="C54" s="493"/>
      <c r="D54" s="493"/>
      <c r="E54" s="494"/>
      <c r="F54" s="492"/>
      <c r="G54" s="493"/>
      <c r="H54" s="494"/>
      <c r="I54" s="487"/>
      <c r="J54" s="519"/>
      <c r="K54" s="520"/>
      <c r="L54" s="521"/>
      <c r="M54" s="492"/>
      <c r="N54" s="493"/>
      <c r="O54" s="494"/>
      <c r="P54" s="871"/>
      <c r="Q54" s="631"/>
      <c r="R54" s="512"/>
      <c r="S54" s="513"/>
      <c r="T54" s="631"/>
      <c r="U54" s="512"/>
      <c r="V54" s="513"/>
      <c r="W54" s="631"/>
      <c r="X54" s="512"/>
      <c r="Y54" s="513"/>
      <c r="Z54" s="492"/>
      <c r="AA54" s="493"/>
      <c r="AB54" s="494"/>
      <c r="AC54" s="487"/>
      <c r="AD54" s="519"/>
      <c r="AE54" s="520"/>
      <c r="AF54" s="521"/>
      <c r="AG54" s="492"/>
      <c r="AH54" s="493"/>
      <c r="AI54" s="494"/>
      <c r="AJ54" s="877"/>
      <c r="AK54" s="508"/>
      <c r="AL54" s="503"/>
      <c r="AM54" s="504"/>
      <c r="AN54" s="508"/>
      <c r="AO54" s="503"/>
      <c r="AP54" s="504"/>
      <c r="AQ54" s="508"/>
      <c r="AR54" s="503"/>
      <c r="AS54" s="504"/>
    </row>
    <row r="55" spans="1:61" ht="22.05" customHeight="1">
      <c r="A55" s="500"/>
      <c r="B55" s="495"/>
      <c r="C55" s="496"/>
      <c r="D55" s="496"/>
      <c r="E55" s="497"/>
      <c r="F55" s="495"/>
      <c r="G55" s="496"/>
      <c r="H55" s="497"/>
      <c r="I55" s="488"/>
      <c r="J55" s="522"/>
      <c r="K55" s="523"/>
      <c r="L55" s="524"/>
      <c r="M55" s="495"/>
      <c r="N55" s="496"/>
      <c r="O55" s="497"/>
      <c r="P55" s="872"/>
      <c r="Q55" s="632"/>
      <c r="R55" s="514"/>
      <c r="S55" s="515"/>
      <c r="T55" s="632"/>
      <c r="U55" s="514"/>
      <c r="V55" s="515"/>
      <c r="W55" s="632"/>
      <c r="X55" s="514"/>
      <c r="Y55" s="515"/>
      <c r="Z55" s="495"/>
      <c r="AA55" s="496"/>
      <c r="AB55" s="497"/>
      <c r="AC55" s="488"/>
      <c r="AD55" s="522"/>
      <c r="AE55" s="523"/>
      <c r="AF55" s="524"/>
      <c r="AG55" s="495"/>
      <c r="AH55" s="496"/>
      <c r="AI55" s="497"/>
      <c r="AJ55" s="878"/>
      <c r="AK55" s="509"/>
      <c r="AL55" s="505"/>
      <c r="AM55" s="506"/>
      <c r="AN55" s="509"/>
      <c r="AO55" s="505"/>
      <c r="AP55" s="506"/>
      <c r="AQ55" s="509"/>
      <c r="AR55" s="505"/>
      <c r="AS55" s="506"/>
    </row>
    <row r="56" spans="1:61" ht="22.05" customHeight="1">
      <c r="A56" s="498" t="s">
        <v>498</v>
      </c>
      <c r="B56" s="489"/>
      <c r="C56" s="490"/>
      <c r="D56" s="490"/>
      <c r="E56" s="491"/>
      <c r="F56" s="489"/>
      <c r="G56" s="490"/>
      <c r="H56" s="491"/>
      <c r="I56" s="486"/>
      <c r="J56" s="516" t="s">
        <v>6</v>
      </c>
      <c r="K56" s="517"/>
      <c r="L56" s="518"/>
      <c r="M56" s="489"/>
      <c r="N56" s="490"/>
      <c r="O56" s="491"/>
      <c r="P56" s="870"/>
      <c r="Q56" s="630">
        <v>5</v>
      </c>
      <c r="R56" s="510"/>
      <c r="S56" s="511"/>
      <c r="T56" s="630">
        <v>5</v>
      </c>
      <c r="U56" s="510"/>
      <c r="V56" s="511"/>
      <c r="W56" s="630">
        <v>5</v>
      </c>
      <c r="X56" s="510"/>
      <c r="Y56" s="511"/>
      <c r="Z56" s="489"/>
      <c r="AA56" s="490"/>
      <c r="AB56" s="491"/>
      <c r="AC56" s="486"/>
      <c r="AD56" s="516" t="s">
        <v>6</v>
      </c>
      <c r="AE56" s="517"/>
      <c r="AF56" s="518"/>
      <c r="AG56" s="489"/>
      <c r="AH56" s="490"/>
      <c r="AI56" s="491"/>
      <c r="AJ56" s="876"/>
      <c r="AK56" s="507">
        <v>5</v>
      </c>
      <c r="AL56" s="501"/>
      <c r="AM56" s="502"/>
      <c r="AN56" s="507">
        <v>5</v>
      </c>
      <c r="AO56" s="501"/>
      <c r="AP56" s="502"/>
      <c r="AQ56" s="507">
        <v>5</v>
      </c>
      <c r="AR56" s="501"/>
      <c r="AS56" s="502"/>
    </row>
    <row r="57" spans="1:61" ht="22.05" customHeight="1">
      <c r="A57" s="499"/>
      <c r="B57" s="492"/>
      <c r="C57" s="493"/>
      <c r="D57" s="493"/>
      <c r="E57" s="494"/>
      <c r="F57" s="492"/>
      <c r="G57" s="493"/>
      <c r="H57" s="494"/>
      <c r="I57" s="487"/>
      <c r="J57" s="519"/>
      <c r="K57" s="520"/>
      <c r="L57" s="521"/>
      <c r="M57" s="492"/>
      <c r="N57" s="493"/>
      <c r="O57" s="494"/>
      <c r="P57" s="871"/>
      <c r="Q57" s="631"/>
      <c r="R57" s="512"/>
      <c r="S57" s="513"/>
      <c r="T57" s="631"/>
      <c r="U57" s="512"/>
      <c r="V57" s="513"/>
      <c r="W57" s="631"/>
      <c r="X57" s="512"/>
      <c r="Y57" s="513"/>
      <c r="Z57" s="492"/>
      <c r="AA57" s="493"/>
      <c r="AB57" s="494"/>
      <c r="AC57" s="487"/>
      <c r="AD57" s="519"/>
      <c r="AE57" s="520"/>
      <c r="AF57" s="521"/>
      <c r="AG57" s="492"/>
      <c r="AH57" s="493"/>
      <c r="AI57" s="494"/>
      <c r="AJ57" s="877"/>
      <c r="AK57" s="508"/>
      <c r="AL57" s="503"/>
      <c r="AM57" s="504"/>
      <c r="AN57" s="508"/>
      <c r="AO57" s="503"/>
      <c r="AP57" s="504"/>
      <c r="AQ57" s="508"/>
      <c r="AR57" s="503"/>
      <c r="AS57" s="504"/>
    </row>
    <row r="58" spans="1:61" ht="22.05" customHeight="1">
      <c r="A58" s="499"/>
      <c r="B58" s="492"/>
      <c r="C58" s="493"/>
      <c r="D58" s="493"/>
      <c r="E58" s="494"/>
      <c r="F58" s="492"/>
      <c r="G58" s="493"/>
      <c r="H58" s="494"/>
      <c r="I58" s="487"/>
      <c r="J58" s="519"/>
      <c r="K58" s="520"/>
      <c r="L58" s="521"/>
      <c r="M58" s="492"/>
      <c r="N58" s="493"/>
      <c r="O58" s="494"/>
      <c r="P58" s="871"/>
      <c r="Q58" s="631"/>
      <c r="R58" s="512"/>
      <c r="S58" s="513"/>
      <c r="T58" s="631"/>
      <c r="U58" s="512"/>
      <c r="V58" s="513"/>
      <c r="W58" s="631"/>
      <c r="X58" s="512"/>
      <c r="Y58" s="513"/>
      <c r="Z58" s="492"/>
      <c r="AA58" s="493"/>
      <c r="AB58" s="494"/>
      <c r="AC58" s="487"/>
      <c r="AD58" s="519"/>
      <c r="AE58" s="520"/>
      <c r="AF58" s="521"/>
      <c r="AG58" s="492"/>
      <c r="AH58" s="493"/>
      <c r="AI58" s="494"/>
      <c r="AJ58" s="877"/>
      <c r="AK58" s="508"/>
      <c r="AL58" s="503"/>
      <c r="AM58" s="504"/>
      <c r="AN58" s="508"/>
      <c r="AO58" s="503"/>
      <c r="AP58" s="504"/>
      <c r="AQ58" s="508"/>
      <c r="AR58" s="503"/>
      <c r="AS58" s="504"/>
    </row>
    <row r="59" spans="1:61" ht="22.05" customHeight="1">
      <c r="A59" s="499"/>
      <c r="B59" s="492"/>
      <c r="C59" s="493"/>
      <c r="D59" s="493"/>
      <c r="E59" s="494"/>
      <c r="F59" s="492"/>
      <c r="G59" s="493"/>
      <c r="H59" s="494"/>
      <c r="I59" s="487"/>
      <c r="J59" s="519"/>
      <c r="K59" s="520"/>
      <c r="L59" s="521"/>
      <c r="M59" s="492"/>
      <c r="N59" s="493"/>
      <c r="O59" s="494"/>
      <c r="P59" s="871"/>
      <c r="Q59" s="631"/>
      <c r="R59" s="512"/>
      <c r="S59" s="513"/>
      <c r="T59" s="631"/>
      <c r="U59" s="512"/>
      <c r="V59" s="513"/>
      <c r="W59" s="631"/>
      <c r="X59" s="512"/>
      <c r="Y59" s="513"/>
      <c r="Z59" s="492"/>
      <c r="AA59" s="493"/>
      <c r="AB59" s="494"/>
      <c r="AC59" s="487"/>
      <c r="AD59" s="519"/>
      <c r="AE59" s="520"/>
      <c r="AF59" s="521"/>
      <c r="AG59" s="492"/>
      <c r="AH59" s="493"/>
      <c r="AI59" s="494"/>
      <c r="AJ59" s="877"/>
      <c r="AK59" s="508"/>
      <c r="AL59" s="503"/>
      <c r="AM59" s="504"/>
      <c r="AN59" s="508"/>
      <c r="AO59" s="503"/>
      <c r="AP59" s="504"/>
      <c r="AQ59" s="508"/>
      <c r="AR59" s="503"/>
      <c r="AS59" s="504"/>
    </row>
    <row r="60" spans="1:61" ht="22.05" customHeight="1">
      <c r="A60" s="499"/>
      <c r="B60" s="492"/>
      <c r="C60" s="493"/>
      <c r="D60" s="493"/>
      <c r="E60" s="494"/>
      <c r="F60" s="492"/>
      <c r="G60" s="493"/>
      <c r="H60" s="494"/>
      <c r="I60" s="487"/>
      <c r="J60" s="519"/>
      <c r="K60" s="520"/>
      <c r="L60" s="521"/>
      <c r="M60" s="492"/>
      <c r="N60" s="493"/>
      <c r="O60" s="494"/>
      <c r="P60" s="871"/>
      <c r="Q60" s="631"/>
      <c r="R60" s="512"/>
      <c r="S60" s="513"/>
      <c r="T60" s="631"/>
      <c r="U60" s="512"/>
      <c r="V60" s="513"/>
      <c r="W60" s="631"/>
      <c r="X60" s="512"/>
      <c r="Y60" s="513"/>
      <c r="Z60" s="492"/>
      <c r="AA60" s="493"/>
      <c r="AB60" s="494"/>
      <c r="AC60" s="487"/>
      <c r="AD60" s="519"/>
      <c r="AE60" s="520"/>
      <c r="AF60" s="521"/>
      <c r="AG60" s="492"/>
      <c r="AH60" s="493"/>
      <c r="AI60" s="494"/>
      <c r="AJ60" s="877"/>
      <c r="AK60" s="508"/>
      <c r="AL60" s="503"/>
      <c r="AM60" s="504"/>
      <c r="AN60" s="508"/>
      <c r="AO60" s="503"/>
      <c r="AP60" s="504"/>
      <c r="AQ60" s="508"/>
      <c r="AR60" s="503"/>
      <c r="AS60" s="504"/>
    </row>
    <row r="61" spans="1:61" ht="22.05" customHeight="1">
      <c r="A61" s="500"/>
      <c r="B61" s="495"/>
      <c r="C61" s="496"/>
      <c r="D61" s="496"/>
      <c r="E61" s="497"/>
      <c r="F61" s="495"/>
      <c r="G61" s="496"/>
      <c r="H61" s="497"/>
      <c r="I61" s="488"/>
      <c r="J61" s="522"/>
      <c r="K61" s="523"/>
      <c r="L61" s="524"/>
      <c r="M61" s="495"/>
      <c r="N61" s="496"/>
      <c r="O61" s="497"/>
      <c r="P61" s="872"/>
      <c r="Q61" s="632"/>
      <c r="R61" s="514"/>
      <c r="S61" s="515"/>
      <c r="T61" s="632"/>
      <c r="U61" s="514"/>
      <c r="V61" s="515"/>
      <c r="W61" s="632"/>
      <c r="X61" s="514"/>
      <c r="Y61" s="515"/>
      <c r="Z61" s="495"/>
      <c r="AA61" s="496"/>
      <c r="AB61" s="497"/>
      <c r="AC61" s="488"/>
      <c r="AD61" s="522"/>
      <c r="AE61" s="523"/>
      <c r="AF61" s="524"/>
      <c r="AG61" s="495"/>
      <c r="AH61" s="496"/>
      <c r="AI61" s="497"/>
      <c r="AJ61" s="878"/>
      <c r="AK61" s="509"/>
      <c r="AL61" s="505"/>
      <c r="AM61" s="506"/>
      <c r="AN61" s="509"/>
      <c r="AO61" s="505"/>
      <c r="AP61" s="506"/>
      <c r="AQ61" s="509"/>
      <c r="AR61" s="505"/>
      <c r="AS61" s="506"/>
    </row>
    <row r="62" spans="1:61" s="91" customFormat="1" ht="40.049999999999997" customHeight="1">
      <c r="L62"/>
      <c r="M62" s="92" t="s">
        <v>499</v>
      </c>
      <c r="N62" s="93"/>
      <c r="O62" s="94"/>
      <c r="P62" s="211">
        <f>SUM($P$32:$P$61)</f>
        <v>0.6</v>
      </c>
      <c r="Q62" s="698">
        <f>AVERAGE(Q$32:Q$61)*($K$26/100)</f>
        <v>3</v>
      </c>
      <c r="R62" s="699"/>
      <c r="S62" s="700"/>
      <c r="T62" s="698">
        <f>AVERAGE(T$32:T$61)*($K$26/100)</f>
        <v>3</v>
      </c>
      <c r="U62" s="699"/>
      <c r="V62" s="700"/>
      <c r="W62" s="698">
        <f>AVERAGE(W$32:W$61)*($K$26/100)</f>
        <v>3</v>
      </c>
      <c r="X62" s="699"/>
      <c r="Y62" s="700"/>
      <c r="AE62" s="96"/>
      <c r="AF62" s="97"/>
      <c r="AG62" s="92" t="s">
        <v>499</v>
      </c>
      <c r="AH62" s="93"/>
      <c r="AI62" s="94"/>
      <c r="AJ62" s="211">
        <f>SUM(AJ32:AJ61)</f>
        <v>0.60000000000000009</v>
      </c>
      <c r="AK62" s="698">
        <f>AVERAGE(AK$32:AK$61)*($K$26/100)</f>
        <v>3</v>
      </c>
      <c r="AL62" s="699"/>
      <c r="AM62" s="700"/>
      <c r="AN62" s="698">
        <f>AVERAGE(AN$32:AN$61)*($K$26/100)</f>
        <v>3</v>
      </c>
      <c r="AO62" s="699"/>
      <c r="AP62" s="700"/>
      <c r="AQ62" s="698">
        <f>AVERAGE(AQ$32:AQ$61)*($K$26/100)</f>
        <v>3</v>
      </c>
      <c r="AR62" s="699"/>
      <c r="AS62" s="700"/>
      <c r="AZ62" s="97"/>
      <c r="BA62" s="97"/>
      <c r="BB62" s="97"/>
      <c r="BC62" s="97"/>
      <c r="BD62" s="97"/>
      <c r="BE62" s="97"/>
      <c r="BF62" s="97"/>
      <c r="BG62" s="97"/>
      <c r="BH62" s="97"/>
      <c r="BI62" s="97"/>
    </row>
    <row r="63" spans="1:61" s="16" customFormat="1" ht="25.5" customHeight="1">
      <c r="AH63" s="4"/>
      <c r="AI63" s="4"/>
      <c r="AJ63" s="4"/>
      <c r="AK63" s="4"/>
      <c r="AL63" s="4"/>
      <c r="AM63" s="4"/>
      <c r="AN63" s="4"/>
      <c r="AO63" s="4"/>
      <c r="AP63" s="4"/>
      <c r="AQ63" s="4"/>
      <c r="AZ63" s="4"/>
      <c r="BA63" s="4"/>
      <c r="BB63" s="4"/>
      <c r="BC63" s="4"/>
      <c r="BD63" s="4"/>
      <c r="BE63" s="4"/>
      <c r="BF63" s="4"/>
      <c r="BG63" s="4"/>
      <c r="BH63" s="4"/>
      <c r="BI63" s="4"/>
    </row>
    <row r="64" spans="1:61" s="16" customFormat="1" ht="25.5" customHeight="1" thickBot="1">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208"/>
    </row>
    <row r="65" spans="1:45" s="100" customFormat="1" ht="40.049999999999997" customHeight="1" thickBot="1">
      <c r="A65" s="101" t="s">
        <v>502</v>
      </c>
      <c r="B65" s="102"/>
      <c r="C65" s="102"/>
      <c r="D65" s="102"/>
      <c r="E65" s="102"/>
      <c r="F65" s="102"/>
      <c r="G65" s="102"/>
      <c r="H65" s="103"/>
      <c r="I65" s="103"/>
      <c r="J65" s="147">
        <f>VLOOKUP($AT$1,'Weight &amp; Grade Def.'!$B$7:$M$46,11,0)</f>
        <v>40</v>
      </c>
      <c r="K65" s="102" t="s">
        <v>503</v>
      </c>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4"/>
    </row>
    <row r="66" spans="1:4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row>
    <row r="67" spans="1:45" s="3" customFormat="1" ht="67.95" customHeight="1">
      <c r="A67" s="695" t="s">
        <v>505</v>
      </c>
      <c r="B67" s="709" t="s">
        <v>504</v>
      </c>
      <c r="C67" s="710"/>
      <c r="D67" s="710"/>
      <c r="E67" s="711"/>
      <c r="F67" s="287" t="s">
        <v>500</v>
      </c>
      <c r="G67" s="718"/>
      <c r="H67" s="718"/>
      <c r="I67" s="718"/>
      <c r="J67" s="718"/>
      <c r="K67" s="718"/>
      <c r="L67" s="718"/>
      <c r="M67" s="718"/>
      <c r="N67" s="718"/>
      <c r="O67" s="718"/>
      <c r="P67" s="718"/>
      <c r="Q67" s="718"/>
      <c r="R67" s="718"/>
      <c r="S67" s="718"/>
      <c r="T67" s="718"/>
      <c r="U67" s="718"/>
      <c r="V67" s="718"/>
      <c r="W67" s="718"/>
      <c r="X67" s="718"/>
      <c r="Y67" s="719"/>
      <c r="Z67" s="356" t="s">
        <v>618</v>
      </c>
      <c r="AA67" s="543"/>
      <c r="AB67" s="543"/>
      <c r="AC67" s="543"/>
      <c r="AD67" s="543"/>
      <c r="AE67" s="543"/>
      <c r="AF67" s="543"/>
      <c r="AG67" s="543"/>
      <c r="AH67" s="543"/>
      <c r="AI67" s="543"/>
      <c r="AJ67" s="543"/>
      <c r="AK67" s="543"/>
      <c r="AL67" s="543"/>
      <c r="AM67" s="543"/>
      <c r="AN67" s="543"/>
      <c r="AO67" s="543"/>
      <c r="AP67" s="543"/>
      <c r="AQ67" s="543"/>
      <c r="AR67" s="543"/>
      <c r="AS67" s="544"/>
    </row>
    <row r="68" spans="1:45" ht="67.95" customHeight="1">
      <c r="A68" s="696"/>
      <c r="B68" s="712"/>
      <c r="C68" s="713"/>
      <c r="D68" s="713"/>
      <c r="E68" s="714"/>
      <c r="F68" s="782" t="s">
        <v>614</v>
      </c>
      <c r="G68" s="783"/>
      <c r="H68" s="784"/>
      <c r="I68" s="791" t="s">
        <v>615</v>
      </c>
      <c r="J68" s="782" t="s">
        <v>616</v>
      </c>
      <c r="K68" s="783"/>
      <c r="L68" s="784"/>
      <c r="M68" s="794" t="s">
        <v>617</v>
      </c>
      <c r="N68" s="795"/>
      <c r="O68" s="796"/>
      <c r="P68" s="791" t="s">
        <v>506</v>
      </c>
      <c r="Q68" s="287" t="s">
        <v>261</v>
      </c>
      <c r="R68" s="718"/>
      <c r="S68" s="719"/>
      <c r="T68" s="287" t="s">
        <v>477</v>
      </c>
      <c r="U68" s="718"/>
      <c r="V68" s="719"/>
      <c r="W68" s="287" t="s">
        <v>478</v>
      </c>
      <c r="X68" s="718"/>
      <c r="Y68" s="719"/>
      <c r="Z68" s="545" t="s">
        <v>614</v>
      </c>
      <c r="AA68" s="546"/>
      <c r="AB68" s="547"/>
      <c r="AC68" s="554" t="s">
        <v>615</v>
      </c>
      <c r="AD68" s="545" t="s">
        <v>616</v>
      </c>
      <c r="AE68" s="546"/>
      <c r="AF68" s="547"/>
      <c r="AG68" s="568" t="s">
        <v>617</v>
      </c>
      <c r="AH68" s="569"/>
      <c r="AI68" s="570"/>
      <c r="AJ68" s="554" t="s">
        <v>506</v>
      </c>
      <c r="AK68" s="356" t="s">
        <v>261</v>
      </c>
      <c r="AL68" s="543"/>
      <c r="AM68" s="544"/>
      <c r="AN68" s="356" t="s">
        <v>477</v>
      </c>
      <c r="AO68" s="543"/>
      <c r="AP68" s="544"/>
      <c r="AQ68" s="356" t="s">
        <v>478</v>
      </c>
      <c r="AR68" s="543"/>
      <c r="AS68" s="544"/>
    </row>
    <row r="69" spans="1:45" ht="60" customHeight="1">
      <c r="A69" s="696"/>
      <c r="B69" s="712"/>
      <c r="C69" s="713"/>
      <c r="D69" s="713"/>
      <c r="E69" s="714"/>
      <c r="F69" s="785"/>
      <c r="G69" s="786"/>
      <c r="H69" s="787"/>
      <c r="I69" s="792"/>
      <c r="J69" s="785"/>
      <c r="K69" s="786"/>
      <c r="L69" s="787"/>
      <c r="M69" s="797"/>
      <c r="N69" s="798"/>
      <c r="O69" s="799"/>
      <c r="P69" s="792"/>
      <c r="Q69" s="15" t="s">
        <v>9</v>
      </c>
      <c r="R69" s="720" t="s">
        <v>501</v>
      </c>
      <c r="S69" s="721"/>
      <c r="T69" s="15" t="s">
        <v>9</v>
      </c>
      <c r="U69" s="720" t="s">
        <v>501</v>
      </c>
      <c r="V69" s="721"/>
      <c r="W69" s="15" t="s">
        <v>9</v>
      </c>
      <c r="X69" s="720" t="s">
        <v>501</v>
      </c>
      <c r="Y69" s="721"/>
      <c r="Z69" s="548"/>
      <c r="AA69" s="549"/>
      <c r="AB69" s="550"/>
      <c r="AC69" s="555"/>
      <c r="AD69" s="548"/>
      <c r="AE69" s="549"/>
      <c r="AF69" s="550"/>
      <c r="AG69" s="571"/>
      <c r="AH69" s="572"/>
      <c r="AI69" s="573"/>
      <c r="AJ69" s="555"/>
      <c r="AK69" s="69" t="s">
        <v>9</v>
      </c>
      <c r="AL69" s="564" t="s">
        <v>501</v>
      </c>
      <c r="AM69" s="565"/>
      <c r="AN69" s="69" t="s">
        <v>9</v>
      </c>
      <c r="AO69" s="564" t="s">
        <v>501</v>
      </c>
      <c r="AP69" s="565"/>
      <c r="AQ69" s="69" t="s">
        <v>9</v>
      </c>
      <c r="AR69" s="564" t="s">
        <v>501</v>
      </c>
      <c r="AS69" s="565"/>
    </row>
    <row r="70" spans="1:45" ht="60" customHeight="1">
      <c r="A70" s="697"/>
      <c r="B70" s="715"/>
      <c r="C70" s="716"/>
      <c r="D70" s="716"/>
      <c r="E70" s="717"/>
      <c r="F70" s="788"/>
      <c r="G70" s="789"/>
      <c r="H70" s="790"/>
      <c r="I70" s="793"/>
      <c r="J70" s="788"/>
      <c r="K70" s="789"/>
      <c r="L70" s="790"/>
      <c r="M70" s="310"/>
      <c r="N70" s="311"/>
      <c r="O70" s="312"/>
      <c r="P70" s="793"/>
      <c r="Q70" s="37" t="s">
        <v>214</v>
      </c>
      <c r="R70" s="722"/>
      <c r="S70" s="723"/>
      <c r="T70" s="37" t="s">
        <v>214</v>
      </c>
      <c r="U70" s="722"/>
      <c r="V70" s="723"/>
      <c r="W70" s="37" t="s">
        <v>214</v>
      </c>
      <c r="X70" s="722"/>
      <c r="Y70" s="723"/>
      <c r="Z70" s="551"/>
      <c r="AA70" s="552"/>
      <c r="AB70" s="553"/>
      <c r="AC70" s="556"/>
      <c r="AD70" s="551"/>
      <c r="AE70" s="552"/>
      <c r="AF70" s="553"/>
      <c r="AG70" s="339"/>
      <c r="AH70" s="340"/>
      <c r="AI70" s="341"/>
      <c r="AJ70" s="556"/>
      <c r="AK70" s="38" t="s">
        <v>214</v>
      </c>
      <c r="AL70" s="566"/>
      <c r="AM70" s="567"/>
      <c r="AN70" s="38" t="s">
        <v>214</v>
      </c>
      <c r="AO70" s="566"/>
      <c r="AP70" s="567"/>
      <c r="AQ70" s="38" t="s">
        <v>214</v>
      </c>
      <c r="AR70" s="566"/>
      <c r="AS70" s="567"/>
    </row>
    <row r="71" spans="1:45" ht="22.05" customHeight="1">
      <c r="A71" s="855" t="s">
        <v>494</v>
      </c>
      <c r="B71" s="879"/>
      <c r="C71" s="880"/>
      <c r="D71" s="880"/>
      <c r="E71" s="881"/>
      <c r="F71" s="489"/>
      <c r="G71" s="490"/>
      <c r="H71" s="491"/>
      <c r="I71" s="486"/>
      <c r="J71" s="516" t="s">
        <v>6</v>
      </c>
      <c r="K71" s="517"/>
      <c r="L71" s="518"/>
      <c r="M71" s="489"/>
      <c r="N71" s="490"/>
      <c r="O71" s="491"/>
      <c r="P71" s="858">
        <v>0.2</v>
      </c>
      <c r="Q71" s="612">
        <v>5</v>
      </c>
      <c r="R71" s="595"/>
      <c r="S71" s="596"/>
      <c r="T71" s="612">
        <v>5</v>
      </c>
      <c r="U71" s="595"/>
      <c r="V71" s="596"/>
      <c r="W71" s="612">
        <v>5</v>
      </c>
      <c r="X71" s="595"/>
      <c r="Y71" s="596"/>
      <c r="Z71" s="489"/>
      <c r="AA71" s="490"/>
      <c r="AB71" s="491"/>
      <c r="AC71" s="486"/>
      <c r="AD71" s="516" t="s">
        <v>6</v>
      </c>
      <c r="AE71" s="517"/>
      <c r="AF71" s="518"/>
      <c r="AG71" s="489"/>
      <c r="AH71" s="490"/>
      <c r="AI71" s="491"/>
      <c r="AJ71" s="858">
        <v>0.2</v>
      </c>
      <c r="AK71" s="507">
        <v>4</v>
      </c>
      <c r="AL71" s="888"/>
      <c r="AM71" s="889"/>
      <c r="AN71" s="507">
        <v>5</v>
      </c>
      <c r="AO71" s="501"/>
      <c r="AP71" s="502"/>
      <c r="AQ71" s="507">
        <v>5</v>
      </c>
      <c r="AR71" s="501"/>
      <c r="AS71" s="502"/>
    </row>
    <row r="72" spans="1:45" ht="22.05" customHeight="1">
      <c r="A72" s="856"/>
      <c r="B72" s="882"/>
      <c r="C72" s="883"/>
      <c r="D72" s="883"/>
      <c r="E72" s="884"/>
      <c r="F72" s="492"/>
      <c r="G72" s="493"/>
      <c r="H72" s="494"/>
      <c r="I72" s="487"/>
      <c r="J72" s="519"/>
      <c r="K72" s="520"/>
      <c r="L72" s="521"/>
      <c r="M72" s="492"/>
      <c r="N72" s="493"/>
      <c r="O72" s="494"/>
      <c r="P72" s="859"/>
      <c r="Q72" s="613"/>
      <c r="R72" s="597"/>
      <c r="S72" s="598"/>
      <c r="T72" s="613"/>
      <c r="U72" s="597"/>
      <c r="V72" s="598"/>
      <c r="W72" s="613"/>
      <c r="X72" s="597"/>
      <c r="Y72" s="598"/>
      <c r="Z72" s="492"/>
      <c r="AA72" s="493"/>
      <c r="AB72" s="494"/>
      <c r="AC72" s="487"/>
      <c r="AD72" s="519"/>
      <c r="AE72" s="520"/>
      <c r="AF72" s="521"/>
      <c r="AG72" s="492"/>
      <c r="AH72" s="493"/>
      <c r="AI72" s="494"/>
      <c r="AJ72" s="859"/>
      <c r="AK72" s="508"/>
      <c r="AL72" s="890"/>
      <c r="AM72" s="891"/>
      <c r="AN72" s="508"/>
      <c r="AO72" s="503"/>
      <c r="AP72" s="504"/>
      <c r="AQ72" s="508"/>
      <c r="AR72" s="503"/>
      <c r="AS72" s="504"/>
    </row>
    <row r="73" spans="1:45" ht="22.05" customHeight="1">
      <c r="A73" s="856"/>
      <c r="B73" s="882"/>
      <c r="C73" s="883"/>
      <c r="D73" s="883"/>
      <c r="E73" s="884"/>
      <c r="F73" s="492"/>
      <c r="G73" s="493"/>
      <c r="H73" s="494"/>
      <c r="I73" s="487"/>
      <c r="J73" s="519"/>
      <c r="K73" s="520"/>
      <c r="L73" s="521"/>
      <c r="M73" s="492"/>
      <c r="N73" s="493"/>
      <c r="O73" s="494"/>
      <c r="P73" s="859"/>
      <c r="Q73" s="613"/>
      <c r="R73" s="597"/>
      <c r="S73" s="598"/>
      <c r="T73" s="613"/>
      <c r="U73" s="597"/>
      <c r="V73" s="598"/>
      <c r="W73" s="613"/>
      <c r="X73" s="597"/>
      <c r="Y73" s="598"/>
      <c r="Z73" s="492"/>
      <c r="AA73" s="493"/>
      <c r="AB73" s="494"/>
      <c r="AC73" s="487"/>
      <c r="AD73" s="519"/>
      <c r="AE73" s="520"/>
      <c r="AF73" s="521"/>
      <c r="AG73" s="492"/>
      <c r="AH73" s="493"/>
      <c r="AI73" s="494"/>
      <c r="AJ73" s="859"/>
      <c r="AK73" s="508"/>
      <c r="AL73" s="890"/>
      <c r="AM73" s="891"/>
      <c r="AN73" s="508"/>
      <c r="AO73" s="503"/>
      <c r="AP73" s="504"/>
      <c r="AQ73" s="508"/>
      <c r="AR73" s="503"/>
      <c r="AS73" s="504"/>
    </row>
    <row r="74" spans="1:45" ht="22.05" customHeight="1">
      <c r="A74" s="856"/>
      <c r="B74" s="882"/>
      <c r="C74" s="883"/>
      <c r="D74" s="883"/>
      <c r="E74" s="884"/>
      <c r="F74" s="492"/>
      <c r="G74" s="493"/>
      <c r="H74" s="494"/>
      <c r="I74" s="487"/>
      <c r="J74" s="519"/>
      <c r="K74" s="520"/>
      <c r="L74" s="521"/>
      <c r="M74" s="492"/>
      <c r="N74" s="493"/>
      <c r="O74" s="494"/>
      <c r="P74" s="859"/>
      <c r="Q74" s="613"/>
      <c r="R74" s="597"/>
      <c r="S74" s="598"/>
      <c r="T74" s="613"/>
      <c r="U74" s="597"/>
      <c r="V74" s="598"/>
      <c r="W74" s="613"/>
      <c r="X74" s="597"/>
      <c r="Y74" s="598"/>
      <c r="Z74" s="492"/>
      <c r="AA74" s="493"/>
      <c r="AB74" s="494"/>
      <c r="AC74" s="487"/>
      <c r="AD74" s="519"/>
      <c r="AE74" s="520"/>
      <c r="AF74" s="521"/>
      <c r="AG74" s="492"/>
      <c r="AH74" s="493"/>
      <c r="AI74" s="494"/>
      <c r="AJ74" s="859"/>
      <c r="AK74" s="508"/>
      <c r="AL74" s="890"/>
      <c r="AM74" s="891"/>
      <c r="AN74" s="508"/>
      <c r="AO74" s="503"/>
      <c r="AP74" s="504"/>
      <c r="AQ74" s="508"/>
      <c r="AR74" s="503"/>
      <c r="AS74" s="504"/>
    </row>
    <row r="75" spans="1:45" ht="22.05" customHeight="1">
      <c r="A75" s="856"/>
      <c r="B75" s="882"/>
      <c r="C75" s="883"/>
      <c r="D75" s="883"/>
      <c r="E75" s="884"/>
      <c r="F75" s="492"/>
      <c r="G75" s="493"/>
      <c r="H75" s="494"/>
      <c r="I75" s="487"/>
      <c r="J75" s="519"/>
      <c r="K75" s="520"/>
      <c r="L75" s="521"/>
      <c r="M75" s="492"/>
      <c r="N75" s="493"/>
      <c r="O75" s="494"/>
      <c r="P75" s="859"/>
      <c r="Q75" s="613"/>
      <c r="R75" s="597"/>
      <c r="S75" s="598"/>
      <c r="T75" s="613"/>
      <c r="U75" s="597"/>
      <c r="V75" s="598"/>
      <c r="W75" s="613"/>
      <c r="X75" s="597"/>
      <c r="Y75" s="598"/>
      <c r="Z75" s="492"/>
      <c r="AA75" s="493"/>
      <c r="AB75" s="494"/>
      <c r="AC75" s="487"/>
      <c r="AD75" s="519"/>
      <c r="AE75" s="520"/>
      <c r="AF75" s="521"/>
      <c r="AG75" s="492"/>
      <c r="AH75" s="493"/>
      <c r="AI75" s="494"/>
      <c r="AJ75" s="859"/>
      <c r="AK75" s="508"/>
      <c r="AL75" s="890"/>
      <c r="AM75" s="891"/>
      <c r="AN75" s="508"/>
      <c r="AO75" s="503"/>
      <c r="AP75" s="504"/>
      <c r="AQ75" s="508"/>
      <c r="AR75" s="503"/>
      <c r="AS75" s="504"/>
    </row>
    <row r="76" spans="1:45" ht="22.05" customHeight="1">
      <c r="A76" s="857"/>
      <c r="B76" s="885"/>
      <c r="C76" s="886"/>
      <c r="D76" s="886"/>
      <c r="E76" s="887"/>
      <c r="F76" s="495"/>
      <c r="G76" s="496"/>
      <c r="H76" s="497"/>
      <c r="I76" s="488"/>
      <c r="J76" s="522"/>
      <c r="K76" s="523"/>
      <c r="L76" s="524"/>
      <c r="M76" s="495"/>
      <c r="N76" s="496"/>
      <c r="O76" s="497"/>
      <c r="P76" s="860"/>
      <c r="Q76" s="614"/>
      <c r="R76" s="599"/>
      <c r="S76" s="600"/>
      <c r="T76" s="614"/>
      <c r="U76" s="599"/>
      <c r="V76" s="600"/>
      <c r="W76" s="614"/>
      <c r="X76" s="599"/>
      <c r="Y76" s="600"/>
      <c r="Z76" s="495"/>
      <c r="AA76" s="496"/>
      <c r="AB76" s="497"/>
      <c r="AC76" s="488"/>
      <c r="AD76" s="522"/>
      <c r="AE76" s="523"/>
      <c r="AF76" s="524"/>
      <c r="AG76" s="495"/>
      <c r="AH76" s="496"/>
      <c r="AI76" s="497"/>
      <c r="AJ76" s="860"/>
      <c r="AK76" s="509"/>
      <c r="AL76" s="892"/>
      <c r="AM76" s="893"/>
      <c r="AN76" s="509"/>
      <c r="AO76" s="505"/>
      <c r="AP76" s="506"/>
      <c r="AQ76" s="509"/>
      <c r="AR76" s="505"/>
      <c r="AS76" s="506"/>
    </row>
    <row r="77" spans="1:45" ht="22.05" customHeight="1">
      <c r="A77" s="855" t="s">
        <v>495</v>
      </c>
      <c r="B77" s="879"/>
      <c r="C77" s="880"/>
      <c r="D77" s="880"/>
      <c r="E77" s="881"/>
      <c r="F77" s="489"/>
      <c r="G77" s="490"/>
      <c r="H77" s="491"/>
      <c r="I77" s="486"/>
      <c r="J77" s="516" t="s">
        <v>6</v>
      </c>
      <c r="K77" s="517"/>
      <c r="L77" s="518"/>
      <c r="M77" s="489"/>
      <c r="N77" s="490"/>
      <c r="O77" s="491"/>
      <c r="P77" s="858">
        <v>0.2</v>
      </c>
      <c r="Q77" s="612">
        <v>5</v>
      </c>
      <c r="R77" s="595"/>
      <c r="S77" s="596"/>
      <c r="T77" s="612">
        <v>5</v>
      </c>
      <c r="U77" s="595"/>
      <c r="V77" s="596"/>
      <c r="W77" s="612">
        <v>5</v>
      </c>
      <c r="X77" s="595"/>
      <c r="Y77" s="596"/>
      <c r="Z77" s="489"/>
      <c r="AA77" s="490"/>
      <c r="AB77" s="491"/>
      <c r="AC77" s="486"/>
      <c r="AD77" s="516" t="s">
        <v>6</v>
      </c>
      <c r="AE77" s="517"/>
      <c r="AF77" s="518"/>
      <c r="AG77" s="489"/>
      <c r="AH77" s="490"/>
      <c r="AI77" s="491"/>
      <c r="AJ77" s="858">
        <v>0.2</v>
      </c>
      <c r="AK77" s="507">
        <v>5</v>
      </c>
      <c r="AL77" s="501"/>
      <c r="AM77" s="502"/>
      <c r="AN77" s="507">
        <v>5</v>
      </c>
      <c r="AO77" s="501"/>
      <c r="AP77" s="502"/>
      <c r="AQ77" s="507">
        <v>5</v>
      </c>
      <c r="AR77" s="501"/>
      <c r="AS77" s="502"/>
    </row>
    <row r="78" spans="1:45" ht="22.05" customHeight="1">
      <c r="A78" s="856"/>
      <c r="B78" s="882"/>
      <c r="C78" s="883"/>
      <c r="D78" s="883"/>
      <c r="E78" s="884"/>
      <c r="F78" s="492"/>
      <c r="G78" s="493"/>
      <c r="H78" s="494"/>
      <c r="I78" s="487"/>
      <c r="J78" s="519"/>
      <c r="K78" s="520"/>
      <c r="L78" s="521"/>
      <c r="M78" s="492"/>
      <c r="N78" s="493"/>
      <c r="O78" s="494"/>
      <c r="P78" s="859"/>
      <c r="Q78" s="613"/>
      <c r="R78" s="597"/>
      <c r="S78" s="598"/>
      <c r="T78" s="613"/>
      <c r="U78" s="597"/>
      <c r="V78" s="598"/>
      <c r="W78" s="613"/>
      <c r="X78" s="597"/>
      <c r="Y78" s="598"/>
      <c r="Z78" s="492"/>
      <c r="AA78" s="493"/>
      <c r="AB78" s="494"/>
      <c r="AC78" s="487"/>
      <c r="AD78" s="519"/>
      <c r="AE78" s="520"/>
      <c r="AF78" s="521"/>
      <c r="AG78" s="492"/>
      <c r="AH78" s="493"/>
      <c r="AI78" s="494"/>
      <c r="AJ78" s="859"/>
      <c r="AK78" s="508"/>
      <c r="AL78" s="503"/>
      <c r="AM78" s="504"/>
      <c r="AN78" s="508"/>
      <c r="AO78" s="503"/>
      <c r="AP78" s="504"/>
      <c r="AQ78" s="508"/>
      <c r="AR78" s="503"/>
      <c r="AS78" s="504"/>
    </row>
    <row r="79" spans="1:45" ht="22.05" customHeight="1">
      <c r="A79" s="856"/>
      <c r="B79" s="882"/>
      <c r="C79" s="883"/>
      <c r="D79" s="883"/>
      <c r="E79" s="884"/>
      <c r="F79" s="492"/>
      <c r="G79" s="493"/>
      <c r="H79" s="494"/>
      <c r="I79" s="487"/>
      <c r="J79" s="519"/>
      <c r="K79" s="520"/>
      <c r="L79" s="521"/>
      <c r="M79" s="492"/>
      <c r="N79" s="493"/>
      <c r="O79" s="494"/>
      <c r="P79" s="859"/>
      <c r="Q79" s="613"/>
      <c r="R79" s="597"/>
      <c r="S79" s="598"/>
      <c r="T79" s="613"/>
      <c r="U79" s="597"/>
      <c r="V79" s="598"/>
      <c r="W79" s="613"/>
      <c r="X79" s="597"/>
      <c r="Y79" s="598"/>
      <c r="Z79" s="492"/>
      <c r="AA79" s="493"/>
      <c r="AB79" s="494"/>
      <c r="AC79" s="487"/>
      <c r="AD79" s="519"/>
      <c r="AE79" s="520"/>
      <c r="AF79" s="521"/>
      <c r="AG79" s="492"/>
      <c r="AH79" s="493"/>
      <c r="AI79" s="494"/>
      <c r="AJ79" s="859"/>
      <c r="AK79" s="508"/>
      <c r="AL79" s="503"/>
      <c r="AM79" s="504"/>
      <c r="AN79" s="508"/>
      <c r="AO79" s="503"/>
      <c r="AP79" s="504"/>
      <c r="AQ79" s="508"/>
      <c r="AR79" s="503"/>
      <c r="AS79" s="504"/>
    </row>
    <row r="80" spans="1:45" ht="22.05" customHeight="1">
      <c r="A80" s="856"/>
      <c r="B80" s="882"/>
      <c r="C80" s="883"/>
      <c r="D80" s="883"/>
      <c r="E80" s="884"/>
      <c r="F80" s="492"/>
      <c r="G80" s="493"/>
      <c r="H80" s="494"/>
      <c r="I80" s="487"/>
      <c r="J80" s="519"/>
      <c r="K80" s="520"/>
      <c r="L80" s="521"/>
      <c r="M80" s="492"/>
      <c r="N80" s="493"/>
      <c r="O80" s="494"/>
      <c r="P80" s="859"/>
      <c r="Q80" s="613"/>
      <c r="R80" s="597"/>
      <c r="S80" s="598"/>
      <c r="T80" s="613"/>
      <c r="U80" s="597"/>
      <c r="V80" s="598"/>
      <c r="W80" s="613"/>
      <c r="X80" s="597"/>
      <c r="Y80" s="598"/>
      <c r="Z80" s="492"/>
      <c r="AA80" s="493"/>
      <c r="AB80" s="494"/>
      <c r="AC80" s="487"/>
      <c r="AD80" s="519"/>
      <c r="AE80" s="520"/>
      <c r="AF80" s="521"/>
      <c r="AG80" s="492"/>
      <c r="AH80" s="493"/>
      <c r="AI80" s="494"/>
      <c r="AJ80" s="859"/>
      <c r="AK80" s="508"/>
      <c r="AL80" s="503"/>
      <c r="AM80" s="504"/>
      <c r="AN80" s="508"/>
      <c r="AO80" s="503"/>
      <c r="AP80" s="504"/>
      <c r="AQ80" s="508"/>
      <c r="AR80" s="503"/>
      <c r="AS80" s="504"/>
    </row>
    <row r="81" spans="1:45" ht="22.05" customHeight="1">
      <c r="A81" s="856"/>
      <c r="B81" s="882"/>
      <c r="C81" s="883"/>
      <c r="D81" s="883"/>
      <c r="E81" s="884"/>
      <c r="F81" s="492"/>
      <c r="G81" s="493"/>
      <c r="H81" s="494"/>
      <c r="I81" s="487"/>
      <c r="J81" s="519"/>
      <c r="K81" s="520"/>
      <c r="L81" s="521"/>
      <c r="M81" s="492"/>
      <c r="N81" s="493"/>
      <c r="O81" s="494"/>
      <c r="P81" s="859"/>
      <c r="Q81" s="613"/>
      <c r="R81" s="597"/>
      <c r="S81" s="598"/>
      <c r="T81" s="613"/>
      <c r="U81" s="597"/>
      <c r="V81" s="598"/>
      <c r="W81" s="613"/>
      <c r="X81" s="597"/>
      <c r="Y81" s="598"/>
      <c r="Z81" s="492"/>
      <c r="AA81" s="493"/>
      <c r="AB81" s="494"/>
      <c r="AC81" s="487"/>
      <c r="AD81" s="519"/>
      <c r="AE81" s="520"/>
      <c r="AF81" s="521"/>
      <c r="AG81" s="492"/>
      <c r="AH81" s="493"/>
      <c r="AI81" s="494"/>
      <c r="AJ81" s="859"/>
      <c r="AK81" s="508"/>
      <c r="AL81" s="503"/>
      <c r="AM81" s="504"/>
      <c r="AN81" s="508"/>
      <c r="AO81" s="503"/>
      <c r="AP81" s="504"/>
      <c r="AQ81" s="508"/>
      <c r="AR81" s="503"/>
      <c r="AS81" s="504"/>
    </row>
    <row r="82" spans="1:45" ht="22.05" customHeight="1">
      <c r="A82" s="857"/>
      <c r="B82" s="885"/>
      <c r="C82" s="886"/>
      <c r="D82" s="886"/>
      <c r="E82" s="887"/>
      <c r="F82" s="495"/>
      <c r="G82" s="496"/>
      <c r="H82" s="497"/>
      <c r="I82" s="488"/>
      <c r="J82" s="522"/>
      <c r="K82" s="523"/>
      <c r="L82" s="524"/>
      <c r="M82" s="495"/>
      <c r="N82" s="496"/>
      <c r="O82" s="497"/>
      <c r="P82" s="860"/>
      <c r="Q82" s="614"/>
      <c r="R82" s="599"/>
      <c r="S82" s="600"/>
      <c r="T82" s="614"/>
      <c r="U82" s="599"/>
      <c r="V82" s="600"/>
      <c r="W82" s="614"/>
      <c r="X82" s="599"/>
      <c r="Y82" s="600"/>
      <c r="Z82" s="495"/>
      <c r="AA82" s="496"/>
      <c r="AB82" s="497"/>
      <c r="AC82" s="488"/>
      <c r="AD82" s="522"/>
      <c r="AE82" s="523"/>
      <c r="AF82" s="524"/>
      <c r="AG82" s="495"/>
      <c r="AH82" s="496"/>
      <c r="AI82" s="497"/>
      <c r="AJ82" s="860"/>
      <c r="AK82" s="509"/>
      <c r="AL82" s="505"/>
      <c r="AM82" s="506"/>
      <c r="AN82" s="509"/>
      <c r="AO82" s="505"/>
      <c r="AP82" s="506"/>
      <c r="AQ82" s="509"/>
      <c r="AR82" s="505"/>
      <c r="AS82" s="506"/>
    </row>
    <row r="83" spans="1:45" ht="22.05" customHeight="1">
      <c r="A83" s="498" t="s">
        <v>496</v>
      </c>
      <c r="B83" s="489"/>
      <c r="C83" s="490"/>
      <c r="D83" s="490"/>
      <c r="E83" s="491"/>
      <c r="F83" s="489"/>
      <c r="G83" s="490"/>
      <c r="H83" s="491"/>
      <c r="I83" s="486"/>
      <c r="J83" s="516" t="s">
        <v>6</v>
      </c>
      <c r="K83" s="517"/>
      <c r="L83" s="518"/>
      <c r="M83" s="489"/>
      <c r="N83" s="490"/>
      <c r="O83" s="491"/>
      <c r="P83" s="870"/>
      <c r="Q83" s="612">
        <v>5</v>
      </c>
      <c r="R83" s="595"/>
      <c r="S83" s="596"/>
      <c r="T83" s="612">
        <v>5</v>
      </c>
      <c r="U83" s="595"/>
      <c r="V83" s="596"/>
      <c r="W83" s="612">
        <v>5</v>
      </c>
      <c r="X83" s="595"/>
      <c r="Y83" s="596"/>
      <c r="Z83" s="489"/>
      <c r="AA83" s="490"/>
      <c r="AB83" s="491"/>
      <c r="AC83" s="486"/>
      <c r="AD83" s="516" t="s">
        <v>6</v>
      </c>
      <c r="AE83" s="517"/>
      <c r="AF83" s="518"/>
      <c r="AG83" s="489"/>
      <c r="AH83" s="490"/>
      <c r="AI83" s="491"/>
      <c r="AJ83" s="870"/>
      <c r="AK83" s="507">
        <v>5</v>
      </c>
      <c r="AL83" s="501"/>
      <c r="AM83" s="502"/>
      <c r="AN83" s="507">
        <v>5</v>
      </c>
      <c r="AO83" s="501"/>
      <c r="AP83" s="502"/>
      <c r="AQ83" s="507">
        <v>4</v>
      </c>
      <c r="AR83" s="501"/>
      <c r="AS83" s="502"/>
    </row>
    <row r="84" spans="1:45" ht="22.05" customHeight="1">
      <c r="A84" s="499"/>
      <c r="B84" s="492"/>
      <c r="C84" s="493"/>
      <c r="D84" s="493"/>
      <c r="E84" s="494"/>
      <c r="F84" s="492"/>
      <c r="G84" s="493"/>
      <c r="H84" s="494"/>
      <c r="I84" s="487"/>
      <c r="J84" s="519"/>
      <c r="K84" s="520"/>
      <c r="L84" s="521"/>
      <c r="M84" s="492"/>
      <c r="N84" s="493"/>
      <c r="O84" s="494"/>
      <c r="P84" s="871"/>
      <c r="Q84" s="613"/>
      <c r="R84" s="597"/>
      <c r="S84" s="598"/>
      <c r="T84" s="613"/>
      <c r="U84" s="597"/>
      <c r="V84" s="598"/>
      <c r="W84" s="613"/>
      <c r="X84" s="597"/>
      <c r="Y84" s="598"/>
      <c r="Z84" s="492"/>
      <c r="AA84" s="493"/>
      <c r="AB84" s="494"/>
      <c r="AC84" s="487"/>
      <c r="AD84" s="519"/>
      <c r="AE84" s="520"/>
      <c r="AF84" s="521"/>
      <c r="AG84" s="492"/>
      <c r="AH84" s="493"/>
      <c r="AI84" s="494"/>
      <c r="AJ84" s="871"/>
      <c r="AK84" s="508"/>
      <c r="AL84" s="503"/>
      <c r="AM84" s="504"/>
      <c r="AN84" s="508"/>
      <c r="AO84" s="503"/>
      <c r="AP84" s="504"/>
      <c r="AQ84" s="508"/>
      <c r="AR84" s="503"/>
      <c r="AS84" s="504"/>
    </row>
    <row r="85" spans="1:45" ht="22.05" customHeight="1">
      <c r="A85" s="499"/>
      <c r="B85" s="492"/>
      <c r="C85" s="493"/>
      <c r="D85" s="493"/>
      <c r="E85" s="494"/>
      <c r="F85" s="492"/>
      <c r="G85" s="493"/>
      <c r="H85" s="494"/>
      <c r="I85" s="487"/>
      <c r="J85" s="519"/>
      <c r="K85" s="520"/>
      <c r="L85" s="521"/>
      <c r="M85" s="492"/>
      <c r="N85" s="493"/>
      <c r="O85" s="494"/>
      <c r="P85" s="871"/>
      <c r="Q85" s="613"/>
      <c r="R85" s="597"/>
      <c r="S85" s="598"/>
      <c r="T85" s="613"/>
      <c r="U85" s="597"/>
      <c r="V85" s="598"/>
      <c r="W85" s="613"/>
      <c r="X85" s="597"/>
      <c r="Y85" s="598"/>
      <c r="Z85" s="492"/>
      <c r="AA85" s="493"/>
      <c r="AB85" s="494"/>
      <c r="AC85" s="487"/>
      <c r="AD85" s="519"/>
      <c r="AE85" s="520"/>
      <c r="AF85" s="521"/>
      <c r="AG85" s="492"/>
      <c r="AH85" s="493"/>
      <c r="AI85" s="494"/>
      <c r="AJ85" s="871"/>
      <c r="AK85" s="508"/>
      <c r="AL85" s="503"/>
      <c r="AM85" s="504"/>
      <c r="AN85" s="508"/>
      <c r="AO85" s="503"/>
      <c r="AP85" s="504"/>
      <c r="AQ85" s="508"/>
      <c r="AR85" s="503"/>
      <c r="AS85" s="504"/>
    </row>
    <row r="86" spans="1:45" ht="22.05" customHeight="1">
      <c r="A86" s="499"/>
      <c r="B86" s="492"/>
      <c r="C86" s="493"/>
      <c r="D86" s="493"/>
      <c r="E86" s="494"/>
      <c r="F86" s="492"/>
      <c r="G86" s="493"/>
      <c r="H86" s="494"/>
      <c r="I86" s="487"/>
      <c r="J86" s="519"/>
      <c r="K86" s="520"/>
      <c r="L86" s="521"/>
      <c r="M86" s="492"/>
      <c r="N86" s="493"/>
      <c r="O86" s="494"/>
      <c r="P86" s="871"/>
      <c r="Q86" s="613"/>
      <c r="R86" s="597"/>
      <c r="S86" s="598"/>
      <c r="T86" s="613"/>
      <c r="U86" s="597"/>
      <c r="V86" s="598"/>
      <c r="W86" s="613"/>
      <c r="X86" s="597"/>
      <c r="Y86" s="598"/>
      <c r="Z86" s="492"/>
      <c r="AA86" s="493"/>
      <c r="AB86" s="494"/>
      <c r="AC86" s="487"/>
      <c r="AD86" s="519"/>
      <c r="AE86" s="520"/>
      <c r="AF86" s="521"/>
      <c r="AG86" s="492"/>
      <c r="AH86" s="493"/>
      <c r="AI86" s="494"/>
      <c r="AJ86" s="871"/>
      <c r="AK86" s="508"/>
      <c r="AL86" s="503"/>
      <c r="AM86" s="504"/>
      <c r="AN86" s="508"/>
      <c r="AO86" s="503"/>
      <c r="AP86" s="504"/>
      <c r="AQ86" s="508"/>
      <c r="AR86" s="503"/>
      <c r="AS86" s="504"/>
    </row>
    <row r="87" spans="1:45" ht="22.05" customHeight="1">
      <c r="A87" s="499"/>
      <c r="B87" s="492"/>
      <c r="C87" s="493"/>
      <c r="D87" s="493"/>
      <c r="E87" s="494"/>
      <c r="F87" s="492"/>
      <c r="G87" s="493"/>
      <c r="H87" s="494"/>
      <c r="I87" s="487"/>
      <c r="J87" s="519"/>
      <c r="K87" s="520"/>
      <c r="L87" s="521"/>
      <c r="M87" s="492"/>
      <c r="N87" s="493"/>
      <c r="O87" s="494"/>
      <c r="P87" s="871"/>
      <c r="Q87" s="613"/>
      <c r="R87" s="597"/>
      <c r="S87" s="598"/>
      <c r="T87" s="613"/>
      <c r="U87" s="597"/>
      <c r="V87" s="598"/>
      <c r="W87" s="613"/>
      <c r="X87" s="597"/>
      <c r="Y87" s="598"/>
      <c r="Z87" s="492"/>
      <c r="AA87" s="493"/>
      <c r="AB87" s="494"/>
      <c r="AC87" s="487"/>
      <c r="AD87" s="519"/>
      <c r="AE87" s="520"/>
      <c r="AF87" s="521"/>
      <c r="AG87" s="492"/>
      <c r="AH87" s="493"/>
      <c r="AI87" s="494"/>
      <c r="AJ87" s="871"/>
      <c r="AK87" s="508"/>
      <c r="AL87" s="503"/>
      <c r="AM87" s="504"/>
      <c r="AN87" s="508"/>
      <c r="AO87" s="503"/>
      <c r="AP87" s="504"/>
      <c r="AQ87" s="508"/>
      <c r="AR87" s="503"/>
      <c r="AS87" s="504"/>
    </row>
    <row r="88" spans="1:45" ht="22.05" customHeight="1">
      <c r="A88" s="500"/>
      <c r="B88" s="495"/>
      <c r="C88" s="496"/>
      <c r="D88" s="496"/>
      <c r="E88" s="497"/>
      <c r="F88" s="495"/>
      <c r="G88" s="496"/>
      <c r="H88" s="497"/>
      <c r="I88" s="488"/>
      <c r="J88" s="522"/>
      <c r="K88" s="523"/>
      <c r="L88" s="524"/>
      <c r="M88" s="495"/>
      <c r="N88" s="496"/>
      <c r="O88" s="497"/>
      <c r="P88" s="872"/>
      <c r="Q88" s="614"/>
      <c r="R88" s="599"/>
      <c r="S88" s="600"/>
      <c r="T88" s="614"/>
      <c r="U88" s="599"/>
      <c r="V88" s="600"/>
      <c r="W88" s="614"/>
      <c r="X88" s="599"/>
      <c r="Y88" s="600"/>
      <c r="Z88" s="495"/>
      <c r="AA88" s="496"/>
      <c r="AB88" s="497"/>
      <c r="AC88" s="488"/>
      <c r="AD88" s="522"/>
      <c r="AE88" s="523"/>
      <c r="AF88" s="524"/>
      <c r="AG88" s="495"/>
      <c r="AH88" s="496"/>
      <c r="AI88" s="497"/>
      <c r="AJ88" s="872"/>
      <c r="AK88" s="509"/>
      <c r="AL88" s="505"/>
      <c r="AM88" s="506"/>
      <c r="AN88" s="509"/>
      <c r="AO88" s="505"/>
      <c r="AP88" s="506"/>
      <c r="AQ88" s="509"/>
      <c r="AR88" s="505"/>
      <c r="AS88" s="506"/>
    </row>
    <row r="89" spans="1:45" ht="22.05" customHeight="1">
      <c r="A89" s="498" t="s">
        <v>497</v>
      </c>
      <c r="B89" s="489"/>
      <c r="C89" s="490"/>
      <c r="D89" s="490"/>
      <c r="E89" s="491"/>
      <c r="F89" s="489"/>
      <c r="G89" s="490"/>
      <c r="H89" s="491"/>
      <c r="I89" s="486"/>
      <c r="J89" s="516" t="s">
        <v>6</v>
      </c>
      <c r="K89" s="517"/>
      <c r="L89" s="518"/>
      <c r="M89" s="489"/>
      <c r="N89" s="490"/>
      <c r="O89" s="491"/>
      <c r="P89" s="894"/>
      <c r="Q89" s="612">
        <v>5</v>
      </c>
      <c r="R89" s="595"/>
      <c r="S89" s="596"/>
      <c r="T89" s="612">
        <v>5</v>
      </c>
      <c r="U89" s="595"/>
      <c r="V89" s="596"/>
      <c r="W89" s="612">
        <v>5</v>
      </c>
      <c r="X89" s="595"/>
      <c r="Y89" s="596"/>
      <c r="Z89" s="489"/>
      <c r="AA89" s="490"/>
      <c r="AB89" s="491"/>
      <c r="AC89" s="486"/>
      <c r="AD89" s="516" t="s">
        <v>6</v>
      </c>
      <c r="AE89" s="517"/>
      <c r="AF89" s="518"/>
      <c r="AG89" s="489"/>
      <c r="AH89" s="490"/>
      <c r="AI89" s="491"/>
      <c r="AJ89" s="894"/>
      <c r="AK89" s="507">
        <v>5</v>
      </c>
      <c r="AL89" s="501"/>
      <c r="AM89" s="502"/>
      <c r="AN89" s="507">
        <v>5</v>
      </c>
      <c r="AO89" s="501"/>
      <c r="AP89" s="502"/>
      <c r="AQ89" s="507">
        <v>3</v>
      </c>
      <c r="AR89" s="501"/>
      <c r="AS89" s="502"/>
    </row>
    <row r="90" spans="1:45" ht="22.05" customHeight="1">
      <c r="A90" s="499"/>
      <c r="B90" s="492"/>
      <c r="C90" s="493"/>
      <c r="D90" s="493"/>
      <c r="E90" s="494"/>
      <c r="F90" s="492"/>
      <c r="G90" s="493"/>
      <c r="H90" s="494"/>
      <c r="I90" s="487"/>
      <c r="J90" s="519"/>
      <c r="K90" s="520"/>
      <c r="L90" s="521"/>
      <c r="M90" s="492"/>
      <c r="N90" s="493"/>
      <c r="O90" s="494"/>
      <c r="P90" s="871"/>
      <c r="Q90" s="613"/>
      <c r="R90" s="597"/>
      <c r="S90" s="598"/>
      <c r="T90" s="613"/>
      <c r="U90" s="597"/>
      <c r="V90" s="598"/>
      <c r="W90" s="613"/>
      <c r="X90" s="597"/>
      <c r="Y90" s="598"/>
      <c r="Z90" s="492"/>
      <c r="AA90" s="493"/>
      <c r="AB90" s="494"/>
      <c r="AC90" s="487"/>
      <c r="AD90" s="519"/>
      <c r="AE90" s="520"/>
      <c r="AF90" s="521"/>
      <c r="AG90" s="492"/>
      <c r="AH90" s="493"/>
      <c r="AI90" s="494"/>
      <c r="AJ90" s="871"/>
      <c r="AK90" s="508"/>
      <c r="AL90" s="503"/>
      <c r="AM90" s="504"/>
      <c r="AN90" s="508"/>
      <c r="AO90" s="503"/>
      <c r="AP90" s="504"/>
      <c r="AQ90" s="508"/>
      <c r="AR90" s="503"/>
      <c r="AS90" s="504"/>
    </row>
    <row r="91" spans="1:45" ht="22.05" customHeight="1">
      <c r="A91" s="499"/>
      <c r="B91" s="492"/>
      <c r="C91" s="493"/>
      <c r="D91" s="493"/>
      <c r="E91" s="494"/>
      <c r="F91" s="492"/>
      <c r="G91" s="493"/>
      <c r="H91" s="494"/>
      <c r="I91" s="487"/>
      <c r="J91" s="519"/>
      <c r="K91" s="520"/>
      <c r="L91" s="521"/>
      <c r="M91" s="492"/>
      <c r="N91" s="493"/>
      <c r="O91" s="494"/>
      <c r="P91" s="871"/>
      <c r="Q91" s="613"/>
      <c r="R91" s="597"/>
      <c r="S91" s="598"/>
      <c r="T91" s="613"/>
      <c r="U91" s="597"/>
      <c r="V91" s="598"/>
      <c r="W91" s="613"/>
      <c r="X91" s="597"/>
      <c r="Y91" s="598"/>
      <c r="Z91" s="492"/>
      <c r="AA91" s="493"/>
      <c r="AB91" s="494"/>
      <c r="AC91" s="487"/>
      <c r="AD91" s="519"/>
      <c r="AE91" s="520"/>
      <c r="AF91" s="521"/>
      <c r="AG91" s="492"/>
      <c r="AH91" s="493"/>
      <c r="AI91" s="494"/>
      <c r="AJ91" s="871"/>
      <c r="AK91" s="508"/>
      <c r="AL91" s="503"/>
      <c r="AM91" s="504"/>
      <c r="AN91" s="508"/>
      <c r="AO91" s="503"/>
      <c r="AP91" s="504"/>
      <c r="AQ91" s="508"/>
      <c r="AR91" s="503"/>
      <c r="AS91" s="504"/>
    </row>
    <row r="92" spans="1:45" ht="22.05" customHeight="1">
      <c r="A92" s="499"/>
      <c r="B92" s="492"/>
      <c r="C92" s="493"/>
      <c r="D92" s="493"/>
      <c r="E92" s="494"/>
      <c r="F92" s="492"/>
      <c r="G92" s="493"/>
      <c r="H92" s="494"/>
      <c r="I92" s="487"/>
      <c r="J92" s="519"/>
      <c r="K92" s="520"/>
      <c r="L92" s="521"/>
      <c r="M92" s="492"/>
      <c r="N92" s="493"/>
      <c r="O92" s="494"/>
      <c r="P92" s="871"/>
      <c r="Q92" s="613"/>
      <c r="R92" s="597"/>
      <c r="S92" s="598"/>
      <c r="T92" s="613"/>
      <c r="U92" s="597"/>
      <c r="V92" s="598"/>
      <c r="W92" s="613"/>
      <c r="X92" s="597"/>
      <c r="Y92" s="598"/>
      <c r="Z92" s="492"/>
      <c r="AA92" s="493"/>
      <c r="AB92" s="494"/>
      <c r="AC92" s="487"/>
      <c r="AD92" s="519"/>
      <c r="AE92" s="520"/>
      <c r="AF92" s="521"/>
      <c r="AG92" s="492"/>
      <c r="AH92" s="493"/>
      <c r="AI92" s="494"/>
      <c r="AJ92" s="871"/>
      <c r="AK92" s="508"/>
      <c r="AL92" s="503"/>
      <c r="AM92" s="504"/>
      <c r="AN92" s="508"/>
      <c r="AO92" s="503"/>
      <c r="AP92" s="504"/>
      <c r="AQ92" s="508"/>
      <c r="AR92" s="503"/>
      <c r="AS92" s="504"/>
    </row>
    <row r="93" spans="1:45" ht="22.05" customHeight="1">
      <c r="A93" s="499"/>
      <c r="B93" s="492"/>
      <c r="C93" s="493"/>
      <c r="D93" s="493"/>
      <c r="E93" s="494"/>
      <c r="F93" s="492"/>
      <c r="G93" s="493"/>
      <c r="H93" s="494"/>
      <c r="I93" s="487"/>
      <c r="J93" s="519"/>
      <c r="K93" s="520"/>
      <c r="L93" s="521"/>
      <c r="M93" s="492"/>
      <c r="N93" s="493"/>
      <c r="O93" s="494"/>
      <c r="P93" s="871"/>
      <c r="Q93" s="613"/>
      <c r="R93" s="597"/>
      <c r="S93" s="598"/>
      <c r="T93" s="613"/>
      <c r="U93" s="597"/>
      <c r="V93" s="598"/>
      <c r="W93" s="613"/>
      <c r="X93" s="597"/>
      <c r="Y93" s="598"/>
      <c r="Z93" s="492"/>
      <c r="AA93" s="493"/>
      <c r="AB93" s="494"/>
      <c r="AC93" s="487"/>
      <c r="AD93" s="519"/>
      <c r="AE93" s="520"/>
      <c r="AF93" s="521"/>
      <c r="AG93" s="492"/>
      <c r="AH93" s="493"/>
      <c r="AI93" s="494"/>
      <c r="AJ93" s="871"/>
      <c r="AK93" s="508"/>
      <c r="AL93" s="503"/>
      <c r="AM93" s="504"/>
      <c r="AN93" s="508"/>
      <c r="AO93" s="503"/>
      <c r="AP93" s="504"/>
      <c r="AQ93" s="508"/>
      <c r="AR93" s="503"/>
      <c r="AS93" s="504"/>
    </row>
    <row r="94" spans="1:45" ht="22.05" customHeight="1">
      <c r="A94" s="500"/>
      <c r="B94" s="495"/>
      <c r="C94" s="496"/>
      <c r="D94" s="496"/>
      <c r="E94" s="497"/>
      <c r="F94" s="495"/>
      <c r="G94" s="496"/>
      <c r="H94" s="497"/>
      <c r="I94" s="488"/>
      <c r="J94" s="522"/>
      <c r="K94" s="523"/>
      <c r="L94" s="524"/>
      <c r="M94" s="495"/>
      <c r="N94" s="496"/>
      <c r="O94" s="497"/>
      <c r="P94" s="872"/>
      <c r="Q94" s="614"/>
      <c r="R94" s="599"/>
      <c r="S94" s="600"/>
      <c r="T94" s="614"/>
      <c r="U94" s="599"/>
      <c r="V94" s="600"/>
      <c r="W94" s="614"/>
      <c r="X94" s="599"/>
      <c r="Y94" s="600"/>
      <c r="Z94" s="495"/>
      <c r="AA94" s="496"/>
      <c r="AB94" s="497"/>
      <c r="AC94" s="488"/>
      <c r="AD94" s="522"/>
      <c r="AE94" s="523"/>
      <c r="AF94" s="524"/>
      <c r="AG94" s="495"/>
      <c r="AH94" s="496"/>
      <c r="AI94" s="497"/>
      <c r="AJ94" s="872"/>
      <c r="AK94" s="509"/>
      <c r="AL94" s="505"/>
      <c r="AM94" s="506"/>
      <c r="AN94" s="509"/>
      <c r="AO94" s="505"/>
      <c r="AP94" s="506"/>
      <c r="AQ94" s="509"/>
      <c r="AR94" s="505"/>
      <c r="AS94" s="506"/>
    </row>
    <row r="95" spans="1:45" ht="22.05" customHeight="1">
      <c r="A95" s="498" t="s">
        <v>498</v>
      </c>
      <c r="B95" s="489"/>
      <c r="C95" s="490"/>
      <c r="D95" s="490"/>
      <c r="E95" s="491"/>
      <c r="F95" s="489"/>
      <c r="G95" s="490"/>
      <c r="H95" s="491"/>
      <c r="I95" s="486"/>
      <c r="J95" s="516" t="s">
        <v>6</v>
      </c>
      <c r="K95" s="517"/>
      <c r="L95" s="518"/>
      <c r="M95" s="489"/>
      <c r="N95" s="490"/>
      <c r="O95" s="491"/>
      <c r="P95" s="894"/>
      <c r="Q95" s="612">
        <v>5</v>
      </c>
      <c r="R95" s="595"/>
      <c r="S95" s="596"/>
      <c r="T95" s="612">
        <v>5</v>
      </c>
      <c r="U95" s="595"/>
      <c r="V95" s="596"/>
      <c r="W95" s="612">
        <v>5</v>
      </c>
      <c r="X95" s="595"/>
      <c r="Y95" s="596"/>
      <c r="Z95" s="489"/>
      <c r="AA95" s="490"/>
      <c r="AB95" s="491"/>
      <c r="AC95" s="486"/>
      <c r="AD95" s="516" t="s">
        <v>6</v>
      </c>
      <c r="AE95" s="517"/>
      <c r="AF95" s="518"/>
      <c r="AG95" s="489"/>
      <c r="AH95" s="490"/>
      <c r="AI95" s="491"/>
      <c r="AJ95" s="894"/>
      <c r="AK95" s="507">
        <v>5</v>
      </c>
      <c r="AL95" s="501"/>
      <c r="AM95" s="502"/>
      <c r="AN95" s="507">
        <v>5</v>
      </c>
      <c r="AO95" s="501"/>
      <c r="AP95" s="502"/>
      <c r="AQ95" s="507">
        <v>2</v>
      </c>
      <c r="AR95" s="501"/>
      <c r="AS95" s="502"/>
    </row>
    <row r="96" spans="1:45" ht="22.05" customHeight="1">
      <c r="A96" s="499"/>
      <c r="B96" s="492"/>
      <c r="C96" s="493"/>
      <c r="D96" s="493"/>
      <c r="E96" s="494"/>
      <c r="F96" s="492"/>
      <c r="G96" s="493"/>
      <c r="H96" s="494"/>
      <c r="I96" s="487"/>
      <c r="J96" s="519"/>
      <c r="K96" s="520"/>
      <c r="L96" s="521"/>
      <c r="M96" s="492"/>
      <c r="N96" s="493"/>
      <c r="O96" s="494"/>
      <c r="P96" s="871"/>
      <c r="Q96" s="613"/>
      <c r="R96" s="597"/>
      <c r="S96" s="598"/>
      <c r="T96" s="613"/>
      <c r="U96" s="597"/>
      <c r="V96" s="598"/>
      <c r="W96" s="613"/>
      <c r="X96" s="597"/>
      <c r="Y96" s="598"/>
      <c r="Z96" s="492"/>
      <c r="AA96" s="493"/>
      <c r="AB96" s="494"/>
      <c r="AC96" s="487"/>
      <c r="AD96" s="519"/>
      <c r="AE96" s="520"/>
      <c r="AF96" s="521"/>
      <c r="AG96" s="492"/>
      <c r="AH96" s="493"/>
      <c r="AI96" s="494"/>
      <c r="AJ96" s="871"/>
      <c r="AK96" s="508"/>
      <c r="AL96" s="503"/>
      <c r="AM96" s="504"/>
      <c r="AN96" s="508"/>
      <c r="AO96" s="503"/>
      <c r="AP96" s="504"/>
      <c r="AQ96" s="508"/>
      <c r="AR96" s="503"/>
      <c r="AS96" s="504"/>
    </row>
    <row r="97" spans="1:61" ht="22.05" customHeight="1">
      <c r="A97" s="499"/>
      <c r="B97" s="492"/>
      <c r="C97" s="493"/>
      <c r="D97" s="493"/>
      <c r="E97" s="494"/>
      <c r="F97" s="492"/>
      <c r="G97" s="493"/>
      <c r="H97" s="494"/>
      <c r="I97" s="487"/>
      <c r="J97" s="519"/>
      <c r="K97" s="520"/>
      <c r="L97" s="521"/>
      <c r="M97" s="492"/>
      <c r="N97" s="493"/>
      <c r="O97" s="494"/>
      <c r="P97" s="871"/>
      <c r="Q97" s="613"/>
      <c r="R97" s="597"/>
      <c r="S97" s="598"/>
      <c r="T97" s="613"/>
      <c r="U97" s="597"/>
      <c r="V97" s="598"/>
      <c r="W97" s="613"/>
      <c r="X97" s="597"/>
      <c r="Y97" s="598"/>
      <c r="Z97" s="492"/>
      <c r="AA97" s="493"/>
      <c r="AB97" s="494"/>
      <c r="AC97" s="487"/>
      <c r="AD97" s="519"/>
      <c r="AE97" s="520"/>
      <c r="AF97" s="521"/>
      <c r="AG97" s="492"/>
      <c r="AH97" s="493"/>
      <c r="AI97" s="494"/>
      <c r="AJ97" s="871"/>
      <c r="AK97" s="508"/>
      <c r="AL97" s="503"/>
      <c r="AM97" s="504"/>
      <c r="AN97" s="508"/>
      <c r="AO97" s="503"/>
      <c r="AP97" s="504"/>
      <c r="AQ97" s="508"/>
      <c r="AR97" s="503"/>
      <c r="AS97" s="504"/>
    </row>
    <row r="98" spans="1:61" ht="22.05" customHeight="1">
      <c r="A98" s="499"/>
      <c r="B98" s="492"/>
      <c r="C98" s="493"/>
      <c r="D98" s="493"/>
      <c r="E98" s="494"/>
      <c r="F98" s="492"/>
      <c r="G98" s="493"/>
      <c r="H98" s="494"/>
      <c r="I98" s="487"/>
      <c r="J98" s="519"/>
      <c r="K98" s="520"/>
      <c r="L98" s="521"/>
      <c r="M98" s="492"/>
      <c r="N98" s="493"/>
      <c r="O98" s="494"/>
      <c r="P98" s="871"/>
      <c r="Q98" s="613"/>
      <c r="R98" s="597"/>
      <c r="S98" s="598"/>
      <c r="T98" s="613"/>
      <c r="U98" s="597"/>
      <c r="V98" s="598"/>
      <c r="W98" s="613"/>
      <c r="X98" s="597"/>
      <c r="Y98" s="598"/>
      <c r="Z98" s="492"/>
      <c r="AA98" s="493"/>
      <c r="AB98" s="494"/>
      <c r="AC98" s="487"/>
      <c r="AD98" s="519"/>
      <c r="AE98" s="520"/>
      <c r="AF98" s="521"/>
      <c r="AG98" s="492"/>
      <c r="AH98" s="493"/>
      <c r="AI98" s="494"/>
      <c r="AJ98" s="871"/>
      <c r="AK98" s="508"/>
      <c r="AL98" s="503"/>
      <c r="AM98" s="504"/>
      <c r="AN98" s="508"/>
      <c r="AO98" s="503"/>
      <c r="AP98" s="504"/>
      <c r="AQ98" s="508"/>
      <c r="AR98" s="503"/>
      <c r="AS98" s="504"/>
    </row>
    <row r="99" spans="1:61" ht="22.05" customHeight="1">
      <c r="A99" s="499"/>
      <c r="B99" s="492"/>
      <c r="C99" s="493"/>
      <c r="D99" s="493"/>
      <c r="E99" s="494"/>
      <c r="F99" s="492"/>
      <c r="G99" s="493"/>
      <c r="H99" s="494"/>
      <c r="I99" s="487"/>
      <c r="J99" s="519"/>
      <c r="K99" s="520"/>
      <c r="L99" s="521"/>
      <c r="M99" s="492"/>
      <c r="N99" s="493"/>
      <c r="O99" s="494"/>
      <c r="P99" s="871"/>
      <c r="Q99" s="613"/>
      <c r="R99" s="597"/>
      <c r="S99" s="598"/>
      <c r="T99" s="613"/>
      <c r="U99" s="597"/>
      <c r="V99" s="598"/>
      <c r="W99" s="613"/>
      <c r="X99" s="597"/>
      <c r="Y99" s="598"/>
      <c r="Z99" s="492"/>
      <c r="AA99" s="493"/>
      <c r="AB99" s="494"/>
      <c r="AC99" s="487"/>
      <c r="AD99" s="519"/>
      <c r="AE99" s="520"/>
      <c r="AF99" s="521"/>
      <c r="AG99" s="492"/>
      <c r="AH99" s="493"/>
      <c r="AI99" s="494"/>
      <c r="AJ99" s="871"/>
      <c r="AK99" s="508"/>
      <c r="AL99" s="503"/>
      <c r="AM99" s="504"/>
      <c r="AN99" s="508"/>
      <c r="AO99" s="503"/>
      <c r="AP99" s="504"/>
      <c r="AQ99" s="508"/>
      <c r="AR99" s="503"/>
      <c r="AS99" s="504"/>
    </row>
    <row r="100" spans="1:61" ht="22.05" customHeight="1">
      <c r="A100" s="500"/>
      <c r="B100" s="495"/>
      <c r="C100" s="496"/>
      <c r="D100" s="496"/>
      <c r="E100" s="497"/>
      <c r="F100" s="495"/>
      <c r="G100" s="496"/>
      <c r="H100" s="497"/>
      <c r="I100" s="488"/>
      <c r="J100" s="522"/>
      <c r="K100" s="523"/>
      <c r="L100" s="524"/>
      <c r="M100" s="495"/>
      <c r="N100" s="496"/>
      <c r="O100" s="497"/>
      <c r="P100" s="872"/>
      <c r="Q100" s="614"/>
      <c r="R100" s="599"/>
      <c r="S100" s="600"/>
      <c r="T100" s="614"/>
      <c r="U100" s="599"/>
      <c r="V100" s="600"/>
      <c r="W100" s="614"/>
      <c r="X100" s="599"/>
      <c r="Y100" s="600"/>
      <c r="Z100" s="495"/>
      <c r="AA100" s="496"/>
      <c r="AB100" s="497"/>
      <c r="AC100" s="488"/>
      <c r="AD100" s="522"/>
      <c r="AE100" s="523"/>
      <c r="AF100" s="524"/>
      <c r="AG100" s="495"/>
      <c r="AH100" s="496"/>
      <c r="AI100" s="497"/>
      <c r="AJ100" s="872"/>
      <c r="AK100" s="509"/>
      <c r="AL100" s="505"/>
      <c r="AM100" s="506"/>
      <c r="AN100" s="509"/>
      <c r="AO100" s="505"/>
      <c r="AP100" s="506"/>
      <c r="AQ100" s="509"/>
      <c r="AR100" s="505"/>
      <c r="AS100" s="506"/>
    </row>
    <row r="101" spans="1:61" s="91" customFormat="1" ht="40.049999999999997" customHeight="1">
      <c r="A101" s="140" t="s">
        <v>525</v>
      </c>
      <c r="M101" s="92" t="s">
        <v>499</v>
      </c>
      <c r="N101" s="93"/>
      <c r="O101" s="94"/>
      <c r="P101" s="211">
        <f>SUM($P$71:$P$100)</f>
        <v>0.4</v>
      </c>
      <c r="Q101" s="698">
        <f>AVERAGE(Q$71:Q$100)*($J$65/100)</f>
        <v>2</v>
      </c>
      <c r="R101" s="699"/>
      <c r="S101" s="700"/>
      <c r="T101" s="698">
        <f>AVERAGE(T$71:T$100)*($J$65/100)</f>
        <v>2</v>
      </c>
      <c r="U101" s="699"/>
      <c r="V101" s="700"/>
      <c r="W101" s="698">
        <f>AVERAGE(W$71:W$100)*($J$65/100)</f>
        <v>2</v>
      </c>
      <c r="X101" s="699"/>
      <c r="Y101" s="700"/>
      <c r="AE101" s="96"/>
      <c r="AF101" s="97"/>
      <c r="AG101" s="92" t="s">
        <v>499</v>
      </c>
      <c r="AH101" s="93"/>
      <c r="AI101" s="94"/>
      <c r="AJ101" s="211">
        <f>SUM($AJ$71:$AJ$100)</f>
        <v>0.4</v>
      </c>
      <c r="AK101" s="698">
        <f>AVERAGE(AK$71:AK$100)*($J$65/100)</f>
        <v>1.92</v>
      </c>
      <c r="AL101" s="699"/>
      <c r="AM101" s="700"/>
      <c r="AN101" s="698">
        <f>AVERAGE(AN$71:AN$100)*($J$65/100)</f>
        <v>2</v>
      </c>
      <c r="AO101" s="699"/>
      <c r="AP101" s="700"/>
      <c r="AQ101" s="698">
        <f>AVERAGE(AQ$71:AQ$100)*($J$65/100)</f>
        <v>1.52</v>
      </c>
      <c r="AR101" s="699"/>
      <c r="AS101" s="700"/>
      <c r="AZ101" s="97"/>
      <c r="BA101" s="97"/>
      <c r="BB101" s="97"/>
      <c r="BC101" s="97"/>
      <c r="BD101" s="97"/>
      <c r="BE101" s="97"/>
      <c r="BF101" s="97"/>
      <c r="BG101" s="97"/>
      <c r="BH101" s="97"/>
      <c r="BI101" s="97"/>
    </row>
    <row r="102" spans="1:61" ht="36.450000000000003" customHeight="1">
      <c r="A102" s="778" t="s">
        <v>526</v>
      </c>
      <c r="B102" s="778"/>
      <c r="C102" s="778"/>
      <c r="D102" s="778"/>
      <c r="E102" s="778"/>
      <c r="F102" s="778"/>
      <c r="G102" s="778" t="s">
        <v>532</v>
      </c>
      <c r="H102" s="778"/>
      <c r="I102" s="778"/>
      <c r="J102" s="778"/>
      <c r="K102" s="778"/>
      <c r="L102" s="778"/>
      <c r="M102" s="32"/>
      <c r="N102" s="32"/>
      <c r="O102" s="32"/>
      <c r="P102" s="32"/>
      <c r="Q102" s="32"/>
      <c r="R102" s="32"/>
      <c r="S102" s="32"/>
      <c r="AG102" s="32"/>
      <c r="AH102" s="32"/>
      <c r="AI102" s="32"/>
      <c r="AJ102" s="32"/>
      <c r="AK102" s="32"/>
      <c r="AL102" s="32"/>
      <c r="AM102" s="32"/>
    </row>
    <row r="103" spans="1:61" s="97" customFormat="1" ht="40.049999999999997" customHeight="1">
      <c r="A103" s="778" t="s">
        <v>527</v>
      </c>
      <c r="B103" s="778"/>
      <c r="C103" s="778"/>
      <c r="D103" s="778"/>
      <c r="E103" s="778"/>
      <c r="F103" s="778"/>
      <c r="G103" s="778" t="s">
        <v>533</v>
      </c>
      <c r="H103" s="778"/>
      <c r="I103" s="778"/>
      <c r="J103" s="778"/>
      <c r="K103" s="778"/>
      <c r="L103" s="778"/>
      <c r="M103" s="92" t="s">
        <v>507</v>
      </c>
      <c r="N103" s="93"/>
      <c r="O103" s="94"/>
      <c r="P103" s="211">
        <f>P101+P62</f>
        <v>1</v>
      </c>
      <c r="Q103" s="748" t="s">
        <v>4</v>
      </c>
      <c r="R103" s="749"/>
      <c r="S103" s="98">
        <f>Q62+Q101</f>
        <v>5</v>
      </c>
      <c r="T103" s="748" t="s">
        <v>508</v>
      </c>
      <c r="U103" s="749"/>
      <c r="V103" s="98">
        <f>T62+T101</f>
        <v>5</v>
      </c>
      <c r="W103" s="748" t="s">
        <v>509</v>
      </c>
      <c r="X103" s="749"/>
      <c r="Y103" s="99">
        <f>W62+W101</f>
        <v>5</v>
      </c>
      <c r="AG103" s="92" t="s">
        <v>507</v>
      </c>
      <c r="AH103" s="93"/>
      <c r="AI103" s="94"/>
      <c r="AJ103" s="211">
        <f>AJ101+AJ62</f>
        <v>1</v>
      </c>
      <c r="AK103" s="748" t="s">
        <v>4</v>
      </c>
      <c r="AL103" s="749"/>
      <c r="AM103" s="98">
        <f>AK62+AK101</f>
        <v>4.92</v>
      </c>
      <c r="AN103" s="748" t="s">
        <v>508</v>
      </c>
      <c r="AO103" s="749"/>
      <c r="AP103" s="98">
        <f>AN62+AN101</f>
        <v>5</v>
      </c>
      <c r="AQ103" s="748" t="s">
        <v>509</v>
      </c>
      <c r="AR103" s="749"/>
      <c r="AS103" s="207">
        <f>AQ62+AQ101</f>
        <v>4.5199999999999996</v>
      </c>
    </row>
    <row r="104" spans="1:61" ht="53.55" customHeight="1">
      <c r="A104" s="778" t="s">
        <v>528</v>
      </c>
      <c r="B104" s="778"/>
      <c r="C104" s="778"/>
      <c r="D104" s="778"/>
      <c r="E104" s="778"/>
      <c r="F104" s="778"/>
      <c r="G104" s="778" t="s">
        <v>534</v>
      </c>
      <c r="H104" s="778"/>
      <c r="I104" s="778"/>
      <c r="J104" s="778"/>
      <c r="K104" s="778"/>
      <c r="L104" s="778"/>
    </row>
    <row r="105" spans="1:61" ht="44.55" customHeight="1">
      <c r="A105" s="778" t="s">
        <v>530</v>
      </c>
      <c r="B105" s="778"/>
      <c r="C105" s="778"/>
      <c r="D105" s="778"/>
      <c r="E105" s="778"/>
      <c r="F105" s="778"/>
      <c r="G105" s="777" t="s">
        <v>537</v>
      </c>
      <c r="H105" s="777"/>
      <c r="I105" s="777"/>
      <c r="J105" s="777"/>
      <c r="K105" s="777"/>
      <c r="L105" s="777"/>
      <c r="M105" s="139"/>
      <c r="N105" s="139"/>
    </row>
    <row r="106" spans="1:61" ht="44.55" customHeight="1">
      <c r="A106" s="778" t="s">
        <v>531</v>
      </c>
      <c r="B106" s="778"/>
      <c r="C106" s="778"/>
      <c r="D106" s="778"/>
      <c r="E106" s="778"/>
      <c r="F106" s="778"/>
      <c r="G106" s="778" t="s">
        <v>536</v>
      </c>
      <c r="H106" s="778"/>
      <c r="I106" s="778"/>
      <c r="J106" s="778"/>
      <c r="K106" s="778"/>
      <c r="L106" s="778"/>
    </row>
    <row r="107" spans="1:61" ht="33.450000000000003" customHeight="1">
      <c r="A107" s="778" t="s">
        <v>529</v>
      </c>
      <c r="B107" s="778"/>
      <c r="C107" s="778"/>
      <c r="D107" s="778"/>
      <c r="E107" s="778"/>
      <c r="F107" s="778"/>
      <c r="G107" s="778" t="s">
        <v>535</v>
      </c>
      <c r="H107" s="778"/>
      <c r="I107" s="778"/>
      <c r="J107" s="778"/>
      <c r="K107" s="778"/>
      <c r="L107" s="778"/>
    </row>
  </sheetData>
  <sheetProtection selectLockedCells="1"/>
  <mergeCells count="364">
    <mergeCell ref="A105:F105"/>
    <mergeCell ref="G105:L105"/>
    <mergeCell ref="A106:F106"/>
    <mergeCell ref="G106:L106"/>
    <mergeCell ref="A107:F107"/>
    <mergeCell ref="G107:L107"/>
    <mergeCell ref="W103:X103"/>
    <mergeCell ref="AK103:AL103"/>
    <mergeCell ref="AN103:AO103"/>
    <mergeCell ref="AQ103:AR103"/>
    <mergeCell ref="A104:F104"/>
    <mergeCell ref="G104:L104"/>
    <mergeCell ref="A102:F102"/>
    <mergeCell ref="G102:L102"/>
    <mergeCell ref="A103:F103"/>
    <mergeCell ref="G103:L103"/>
    <mergeCell ref="Q103:R103"/>
    <mergeCell ref="T103:U103"/>
    <mergeCell ref="AL89:AM94"/>
    <mergeCell ref="AN89:AN94"/>
    <mergeCell ref="AO89:AP94"/>
    <mergeCell ref="AR95:AS100"/>
    <mergeCell ref="Q101:S101"/>
    <mergeCell ref="T101:V101"/>
    <mergeCell ref="W101:Y101"/>
    <mergeCell ref="AK101:AM101"/>
    <mergeCell ref="AN101:AP101"/>
    <mergeCell ref="AQ101:AS101"/>
    <mergeCell ref="AJ95:AJ100"/>
    <mergeCell ref="AK95:AK100"/>
    <mergeCell ref="AL95:AM100"/>
    <mergeCell ref="AN95:AN100"/>
    <mergeCell ref="AO95:AP100"/>
    <mergeCell ref="AQ95:AQ100"/>
    <mergeCell ref="W95:W100"/>
    <mergeCell ref="X95:Y100"/>
    <mergeCell ref="Z95:AB100"/>
    <mergeCell ref="AC95:AC100"/>
    <mergeCell ref="AD95:AF100"/>
    <mergeCell ref="AG95:AI100"/>
    <mergeCell ref="AQ89:AQ94"/>
    <mergeCell ref="AR89:AS94"/>
    <mergeCell ref="A95:A100"/>
    <mergeCell ref="B95:E100"/>
    <mergeCell ref="F95:H100"/>
    <mergeCell ref="I95:I100"/>
    <mergeCell ref="J95:L100"/>
    <mergeCell ref="Z89:AB94"/>
    <mergeCell ref="AC89:AC94"/>
    <mergeCell ref="AD89:AF94"/>
    <mergeCell ref="AG89:AI94"/>
    <mergeCell ref="AJ89:AJ94"/>
    <mergeCell ref="AK89:AK94"/>
    <mergeCell ref="Q89:Q94"/>
    <mergeCell ref="R89:S94"/>
    <mergeCell ref="T89:T94"/>
    <mergeCell ref="U89:V94"/>
    <mergeCell ref="W89:W94"/>
    <mergeCell ref="X89:Y94"/>
    <mergeCell ref="M95:O100"/>
    <mergeCell ref="P95:P100"/>
    <mergeCell ref="Q95:Q100"/>
    <mergeCell ref="R95:S100"/>
    <mergeCell ref="T95:T100"/>
    <mergeCell ref="U95:V100"/>
    <mergeCell ref="M77:O82"/>
    <mergeCell ref="P77:P82"/>
    <mergeCell ref="AO83:AP88"/>
    <mergeCell ref="AQ83:AQ88"/>
    <mergeCell ref="AR83:AS88"/>
    <mergeCell ref="A89:A94"/>
    <mergeCell ref="B89:E94"/>
    <mergeCell ref="F89:H94"/>
    <mergeCell ref="I89:I94"/>
    <mergeCell ref="J89:L94"/>
    <mergeCell ref="M89:O94"/>
    <mergeCell ref="P89:P94"/>
    <mergeCell ref="AD83:AF88"/>
    <mergeCell ref="AG83:AI88"/>
    <mergeCell ref="AJ83:AJ88"/>
    <mergeCell ref="AK83:AK88"/>
    <mergeCell ref="AL83:AM88"/>
    <mergeCell ref="AN83:AN88"/>
    <mergeCell ref="T83:T88"/>
    <mergeCell ref="U83:V88"/>
    <mergeCell ref="W83:W88"/>
    <mergeCell ref="X83:Y88"/>
    <mergeCell ref="Z83:AB88"/>
    <mergeCell ref="AC83:AC88"/>
    <mergeCell ref="AL71:AM76"/>
    <mergeCell ref="AN71:AN76"/>
    <mergeCell ref="AO71:AP76"/>
    <mergeCell ref="AQ71:AQ76"/>
    <mergeCell ref="AR71:AS76"/>
    <mergeCell ref="AJ71:AJ76"/>
    <mergeCell ref="AK71:AK76"/>
    <mergeCell ref="AR77:AS82"/>
    <mergeCell ref="A83:A88"/>
    <mergeCell ref="B83:E88"/>
    <mergeCell ref="F83:H88"/>
    <mergeCell ref="I83:I88"/>
    <mergeCell ref="J83:L88"/>
    <mergeCell ref="M83:O88"/>
    <mergeCell ref="P83:P88"/>
    <mergeCell ref="Q83:Q88"/>
    <mergeCell ref="R83:S88"/>
    <mergeCell ref="AJ77:AJ82"/>
    <mergeCell ref="AK77:AK82"/>
    <mergeCell ref="AL77:AM82"/>
    <mergeCell ref="AN77:AN82"/>
    <mergeCell ref="AO77:AP82"/>
    <mergeCell ref="AQ77:AQ82"/>
    <mergeCell ref="W77:W82"/>
    <mergeCell ref="A77:A82"/>
    <mergeCell ref="B77:E82"/>
    <mergeCell ref="F77:H82"/>
    <mergeCell ref="I77:I82"/>
    <mergeCell ref="J77:L82"/>
    <mergeCell ref="Z71:AB76"/>
    <mergeCell ref="AC71:AC76"/>
    <mergeCell ref="AD71:AF76"/>
    <mergeCell ref="AG71:AI76"/>
    <mergeCell ref="Q71:Q76"/>
    <mergeCell ref="R71:S76"/>
    <mergeCell ref="T71:T76"/>
    <mergeCell ref="U71:V76"/>
    <mergeCell ref="W71:W76"/>
    <mergeCell ref="X71:Y76"/>
    <mergeCell ref="Q77:Q82"/>
    <mergeCell ref="R77:S82"/>
    <mergeCell ref="T77:T82"/>
    <mergeCell ref="U77:V82"/>
    <mergeCell ref="X77:Y82"/>
    <mergeCell ref="Z77:AB82"/>
    <mergeCell ref="AC77:AC82"/>
    <mergeCell ref="AD77:AF82"/>
    <mergeCell ref="AG77:AI82"/>
    <mergeCell ref="A71:A76"/>
    <mergeCell ref="B71:E76"/>
    <mergeCell ref="F71:H76"/>
    <mergeCell ref="I71:I76"/>
    <mergeCell ref="J71:L76"/>
    <mergeCell ref="M71:O76"/>
    <mergeCell ref="P71:P76"/>
    <mergeCell ref="Q68:S68"/>
    <mergeCell ref="T68:V68"/>
    <mergeCell ref="R69:S70"/>
    <mergeCell ref="U69:V70"/>
    <mergeCell ref="X69:Y70"/>
    <mergeCell ref="A67:A70"/>
    <mergeCell ref="B67:E70"/>
    <mergeCell ref="F67:Y67"/>
    <mergeCell ref="Z67:AS67"/>
    <mergeCell ref="F68:H70"/>
    <mergeCell ref="I68:I70"/>
    <mergeCell ref="J68:L70"/>
    <mergeCell ref="M68:O70"/>
    <mergeCell ref="P68:P70"/>
    <mergeCell ref="Z68:AB70"/>
    <mergeCell ref="AC68:AC70"/>
    <mergeCell ref="AD68:AF70"/>
    <mergeCell ref="AG68:AI70"/>
    <mergeCell ref="AJ68:AJ70"/>
    <mergeCell ref="AL69:AM70"/>
    <mergeCell ref="AO69:AP70"/>
    <mergeCell ref="AR69:AS70"/>
    <mergeCell ref="W68:Y68"/>
    <mergeCell ref="AK68:AM68"/>
    <mergeCell ref="AN68:AP68"/>
    <mergeCell ref="AQ68:AS68"/>
    <mergeCell ref="AL50:AM55"/>
    <mergeCell ref="AN50:AN55"/>
    <mergeCell ref="AO50:AP55"/>
    <mergeCell ref="AR56:AS61"/>
    <mergeCell ref="Q62:S62"/>
    <mergeCell ref="T62:V62"/>
    <mergeCell ref="W62:Y62"/>
    <mergeCell ref="AK62:AM62"/>
    <mergeCell ref="AN62:AP62"/>
    <mergeCell ref="AQ62:AS62"/>
    <mergeCell ref="AJ56:AJ61"/>
    <mergeCell ref="AK56:AK61"/>
    <mergeCell ref="AL56:AM61"/>
    <mergeCell ref="AN56:AN61"/>
    <mergeCell ref="AO56:AP61"/>
    <mergeCell ref="AQ56:AQ61"/>
    <mergeCell ref="W56:W61"/>
    <mergeCell ref="X56:Y61"/>
    <mergeCell ref="Z56:AB61"/>
    <mergeCell ref="AC56:AC61"/>
    <mergeCell ref="AD56:AF61"/>
    <mergeCell ref="AG56:AI61"/>
    <mergeCell ref="AJ50:AJ55"/>
    <mergeCell ref="AK50:AK55"/>
    <mergeCell ref="A56:A61"/>
    <mergeCell ref="B56:E61"/>
    <mergeCell ref="F56:H61"/>
    <mergeCell ref="I56:I61"/>
    <mergeCell ref="J56:L61"/>
    <mergeCell ref="Z50:AB55"/>
    <mergeCell ref="AC50:AC55"/>
    <mergeCell ref="AD50:AF55"/>
    <mergeCell ref="AG50:AI55"/>
    <mergeCell ref="Q50:Q55"/>
    <mergeCell ref="R50:S55"/>
    <mergeCell ref="T50:T55"/>
    <mergeCell ref="U50:V55"/>
    <mergeCell ref="W50:W55"/>
    <mergeCell ref="X50:Y55"/>
    <mergeCell ref="M56:O61"/>
    <mergeCell ref="P56:P61"/>
    <mergeCell ref="Q56:Q61"/>
    <mergeCell ref="R56:S61"/>
    <mergeCell ref="T56:T61"/>
    <mergeCell ref="U56:V61"/>
    <mergeCell ref="AO44:AP49"/>
    <mergeCell ref="AQ44:AQ49"/>
    <mergeCell ref="AR44:AS49"/>
    <mergeCell ref="A50:A55"/>
    <mergeCell ref="B50:E55"/>
    <mergeCell ref="F50:H55"/>
    <mergeCell ref="I50:I55"/>
    <mergeCell ref="J50:L55"/>
    <mergeCell ref="M50:O55"/>
    <mergeCell ref="P50:P55"/>
    <mergeCell ref="AD44:AF49"/>
    <mergeCell ref="AG44:AI49"/>
    <mergeCell ref="AJ44:AJ49"/>
    <mergeCell ref="AK44:AK49"/>
    <mergeCell ref="AL44:AM49"/>
    <mergeCell ref="AN44:AN49"/>
    <mergeCell ref="T44:T49"/>
    <mergeCell ref="U44:V49"/>
    <mergeCell ref="W44:W49"/>
    <mergeCell ref="X44:Y49"/>
    <mergeCell ref="Z44:AB49"/>
    <mergeCell ref="AC44:AC49"/>
    <mergeCell ref="AQ50:AQ55"/>
    <mergeCell ref="AR50:AS55"/>
    <mergeCell ref="AQ32:AQ37"/>
    <mergeCell ref="AR32:AS37"/>
    <mergeCell ref="AJ32:AJ37"/>
    <mergeCell ref="AK32:AK37"/>
    <mergeCell ref="AR38:AS43"/>
    <mergeCell ref="A44:A49"/>
    <mergeCell ref="B44:E49"/>
    <mergeCell ref="F44:H49"/>
    <mergeCell ref="I44:I49"/>
    <mergeCell ref="J44:L49"/>
    <mergeCell ref="M44:O49"/>
    <mergeCell ref="P44:P49"/>
    <mergeCell ref="Q44:Q49"/>
    <mergeCell ref="R44:S49"/>
    <mergeCell ref="AJ38:AJ43"/>
    <mergeCell ref="AK38:AK43"/>
    <mergeCell ref="AL38:AM43"/>
    <mergeCell ref="AN38:AN43"/>
    <mergeCell ref="AO38:AP43"/>
    <mergeCell ref="AQ38:AQ43"/>
    <mergeCell ref="W38:W43"/>
    <mergeCell ref="X38:Y43"/>
    <mergeCell ref="Z38:AB43"/>
    <mergeCell ref="AC38:AC43"/>
    <mergeCell ref="A38:A43"/>
    <mergeCell ref="B38:E43"/>
    <mergeCell ref="F38:H43"/>
    <mergeCell ref="I38:I43"/>
    <mergeCell ref="J38:L43"/>
    <mergeCell ref="Z32:AB37"/>
    <mergeCell ref="AC32:AC37"/>
    <mergeCell ref="AD32:AF37"/>
    <mergeCell ref="AG32:AI37"/>
    <mergeCell ref="Q32:Q37"/>
    <mergeCell ref="R32:S37"/>
    <mergeCell ref="T32:T37"/>
    <mergeCell ref="U32:V37"/>
    <mergeCell ref="W32:W37"/>
    <mergeCell ref="X32:Y37"/>
    <mergeCell ref="Q38:Q43"/>
    <mergeCell ref="R38:S43"/>
    <mergeCell ref="T38:T43"/>
    <mergeCell ref="U38:V43"/>
    <mergeCell ref="AD38:AF43"/>
    <mergeCell ref="AG38:AI43"/>
    <mergeCell ref="M38:O43"/>
    <mergeCell ref="P38:P43"/>
    <mergeCell ref="X30:Y31"/>
    <mergeCell ref="A28:A31"/>
    <mergeCell ref="B28:E31"/>
    <mergeCell ref="AL30:AM31"/>
    <mergeCell ref="AO30:AP31"/>
    <mergeCell ref="AR30:AS31"/>
    <mergeCell ref="A32:A37"/>
    <mergeCell ref="B32:E37"/>
    <mergeCell ref="F32:H37"/>
    <mergeCell ref="I32:I37"/>
    <mergeCell ref="J32:L37"/>
    <mergeCell ref="M32:O37"/>
    <mergeCell ref="P32:P37"/>
    <mergeCell ref="Q29:S29"/>
    <mergeCell ref="T29:V29"/>
    <mergeCell ref="W29:Y29"/>
    <mergeCell ref="AK29:AM29"/>
    <mergeCell ref="AN29:AP29"/>
    <mergeCell ref="AQ29:AS29"/>
    <mergeCell ref="R30:S31"/>
    <mergeCell ref="U30:V31"/>
    <mergeCell ref="AL32:AM37"/>
    <mergeCell ref="AN32:AN37"/>
    <mergeCell ref="AO32:AP37"/>
    <mergeCell ref="AI18:AS18"/>
    <mergeCell ref="AI19:AS19"/>
    <mergeCell ref="C20:E21"/>
    <mergeCell ref="F20:F21"/>
    <mergeCell ref="G20:AG21"/>
    <mergeCell ref="C22:E23"/>
    <mergeCell ref="F22:F23"/>
    <mergeCell ref="G22:AG23"/>
    <mergeCell ref="A16:E16"/>
    <mergeCell ref="F16:AG16"/>
    <mergeCell ref="A18:B23"/>
    <mergeCell ref="C18:E19"/>
    <mergeCell ref="F18:F19"/>
    <mergeCell ref="G18:AG19"/>
    <mergeCell ref="A1:AS1"/>
    <mergeCell ref="AT1:AT2"/>
    <mergeCell ref="C10:M10"/>
    <mergeCell ref="R10:AD10"/>
    <mergeCell ref="AI10:AJ10"/>
    <mergeCell ref="AL10:AL11"/>
    <mergeCell ref="AL12:AL13"/>
    <mergeCell ref="A15:E15"/>
    <mergeCell ref="F15:AG15"/>
    <mergeCell ref="AI15:AS15"/>
    <mergeCell ref="AL6:AL7"/>
    <mergeCell ref="C7:G7"/>
    <mergeCell ref="L7:X7"/>
    <mergeCell ref="AB7:AE7"/>
    <mergeCell ref="AI7:AJ7"/>
    <mergeCell ref="AL8:AL9"/>
    <mergeCell ref="AU1:AU2"/>
    <mergeCell ref="AV1:AV2"/>
    <mergeCell ref="AW1:AW2"/>
    <mergeCell ref="AX1:AX2"/>
    <mergeCell ref="A2:AS2"/>
    <mergeCell ref="F29:H31"/>
    <mergeCell ref="I29:I31"/>
    <mergeCell ref="J29:L31"/>
    <mergeCell ref="M29:O31"/>
    <mergeCell ref="P29:P31"/>
    <mergeCell ref="F28:Y28"/>
    <mergeCell ref="Z28:AS28"/>
    <mergeCell ref="Z29:AB31"/>
    <mergeCell ref="AC29:AC31"/>
    <mergeCell ref="AD29:AF31"/>
    <mergeCell ref="AG29:AI31"/>
    <mergeCell ref="AJ29:AJ31"/>
    <mergeCell ref="AL3:AS3"/>
    <mergeCell ref="B4:H4"/>
    <mergeCell ref="J4:L4"/>
    <mergeCell ref="N4:U4"/>
    <mergeCell ref="X4:AA4"/>
    <mergeCell ref="AG4:AJ4"/>
    <mergeCell ref="AL4:AL5"/>
  </mergeCells>
  <printOptions horizontalCentered="1" verticalCentered="1"/>
  <pageMargins left="0.36" right="0.17" top="0.32" bottom="0.3" header="0.3" footer="0.3"/>
  <pageSetup paperSize="8" scale="2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E0832-2EFA-4636-8380-4E3F67C4299B}">
  <sheetPr codeName="Sheet7">
    <tabColor rgb="FFC00000"/>
    <pageSetUpPr fitToPage="1"/>
  </sheetPr>
  <dimension ref="A1:BM91"/>
  <sheetViews>
    <sheetView showGridLines="0" zoomScale="30" zoomScaleNormal="30" workbookViewId="0">
      <selection activeCell="AU1" sqref="AU1:AU2"/>
    </sheetView>
  </sheetViews>
  <sheetFormatPr defaultColWidth="9.26953125" defaultRowHeight="28.8"/>
  <cols>
    <col min="1" max="2" width="14.7265625" style="4" customWidth="1"/>
    <col min="3" max="5" width="12.7265625" style="4" customWidth="1"/>
    <col min="6" max="6" width="14.7265625" style="4" customWidth="1"/>
    <col min="7" max="10" width="12.7265625" style="4" customWidth="1"/>
    <col min="11" max="46" width="10.7265625" style="4" customWidth="1"/>
    <col min="47" max="51" width="13.7265625" style="4" customWidth="1"/>
    <col min="52" max="76" width="4.7265625" style="4" customWidth="1"/>
    <col min="77" max="16384" width="9.26953125" style="4"/>
  </cols>
  <sheetData>
    <row r="1" spans="1:65" s="3" customFormat="1" ht="34.950000000000003" customHeight="1">
      <c r="A1" s="244" t="s">
        <v>162</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6"/>
      <c r="AU1" s="724" t="s">
        <v>274</v>
      </c>
      <c r="AV1" s="724" t="s">
        <v>358</v>
      </c>
      <c r="AW1" s="228" t="str">
        <f>AU1&amp;AV1</f>
        <v>E8T</v>
      </c>
      <c r="AX1" s="228" t="str">
        <f>VLOOKUP($AW$1,'Weight &amp; Grade Def.'!$G$7:$I$86,2,0)</f>
        <v>E7T</v>
      </c>
      <c r="AY1" s="228" t="str">
        <f>VLOOKUP($AW$1,'Weight &amp; Grade Def.'!$G$7:$I$86,3,0)</f>
        <v>G9T</v>
      </c>
    </row>
    <row r="2" spans="1:65" s="3" customFormat="1" ht="34.049999999999997" customHeight="1" thickBot="1">
      <c r="A2" s="247" t="s">
        <v>248</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9"/>
      <c r="AU2" s="725"/>
      <c r="AV2" s="725"/>
      <c r="AW2" s="229"/>
      <c r="AX2" s="229" t="str">
        <f>VLOOKUP($AW$1,'Weight &amp; Grade Def.'!$G$7:$I$86,2,0)</f>
        <v>E7T</v>
      </c>
      <c r="AY2" s="229" t="str">
        <f>VLOOKUP($AW$1,'Weight &amp; Grade Def.'!$G$7:$I$86,2,0)</f>
        <v>E7T</v>
      </c>
    </row>
    <row r="3" spans="1:65" s="3" customFormat="1" ht="28.5" customHeight="1" thickBot="1">
      <c r="A3" s="105"/>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218"/>
      <c r="AK3" s="252" t="s">
        <v>621</v>
      </c>
      <c r="AL3" s="253"/>
      <c r="AM3" s="253"/>
      <c r="AN3" s="254"/>
      <c r="AO3" s="302" t="s">
        <v>619</v>
      </c>
      <c r="AP3" s="303"/>
      <c r="AQ3" s="303"/>
      <c r="AR3" s="303"/>
      <c r="AS3" s="303"/>
      <c r="AT3" s="304"/>
      <c r="AW3" s="159"/>
      <c r="AX3" s="160"/>
      <c r="AY3" s="160"/>
    </row>
    <row r="4" spans="1:65" ht="28.5" customHeight="1">
      <c r="A4" s="107" t="s">
        <v>0</v>
      </c>
      <c r="B4" s="251"/>
      <c r="C4" s="251"/>
      <c r="D4" s="251"/>
      <c r="E4" s="251"/>
      <c r="F4" s="251"/>
      <c r="G4" s="251"/>
      <c r="H4" s="251"/>
      <c r="I4" s="6" t="s">
        <v>491</v>
      </c>
      <c r="J4" s="251"/>
      <c r="K4" s="251"/>
      <c r="L4" s="251"/>
      <c r="M4" s="4" t="s">
        <v>1</v>
      </c>
      <c r="O4" s="251"/>
      <c r="P4" s="251"/>
      <c r="Q4" s="251"/>
      <c r="R4" s="251"/>
      <c r="S4" s="251"/>
      <c r="T4" s="251"/>
      <c r="U4" s="251"/>
      <c r="V4" s="4" t="s">
        <v>185</v>
      </c>
      <c r="X4" s="250" t="str">
        <f>AU1</f>
        <v>E8</v>
      </c>
      <c r="Y4" s="250"/>
      <c r="Z4" s="250"/>
      <c r="AA4" s="250"/>
      <c r="AB4" s="4" t="s">
        <v>13</v>
      </c>
      <c r="AG4" s="251"/>
      <c r="AH4" s="251"/>
      <c r="AI4" s="251"/>
      <c r="AJ4" s="225"/>
      <c r="AK4" s="255"/>
      <c r="AL4" s="256"/>
      <c r="AM4" s="256"/>
      <c r="AN4" s="257"/>
      <c r="AO4" s="221"/>
      <c r="AP4" s="219"/>
      <c r="AQ4" s="220"/>
      <c r="AR4" s="219"/>
      <c r="AS4" s="220"/>
      <c r="AT4" s="222"/>
      <c r="AW4" s="161"/>
      <c r="AX4" s="162" t="s">
        <v>420</v>
      </c>
      <c r="AY4" s="162" t="s">
        <v>421</v>
      </c>
      <c r="BG4" s="3"/>
      <c r="BH4" s="3"/>
      <c r="BI4" s="3"/>
      <c r="BJ4" s="3"/>
      <c r="BK4" s="3"/>
      <c r="BL4" s="3"/>
      <c r="BM4" s="3"/>
    </row>
    <row r="5" spans="1:65" ht="28.5" customHeight="1">
      <c r="A5" s="107" t="s">
        <v>190</v>
      </c>
      <c r="I5" s="4" t="s">
        <v>492</v>
      </c>
      <c r="M5" s="4" t="s">
        <v>191</v>
      </c>
      <c r="V5" s="4" t="s">
        <v>192</v>
      </c>
      <c r="AB5" s="4" t="s">
        <v>199</v>
      </c>
      <c r="AJ5" s="225"/>
      <c r="AK5" s="255"/>
      <c r="AL5" s="256"/>
      <c r="AM5" s="256"/>
      <c r="AN5" s="257"/>
      <c r="AO5" s="223"/>
      <c r="AP5" s="210"/>
      <c r="AQ5" s="209"/>
      <c r="AR5" s="210"/>
      <c r="AS5" s="209"/>
      <c r="AT5" s="224"/>
      <c r="BG5" s="3"/>
      <c r="BH5" s="3"/>
      <c r="BI5" s="3"/>
      <c r="BJ5" s="3"/>
      <c r="BK5" s="3"/>
      <c r="BL5" s="3"/>
      <c r="BM5" s="3"/>
    </row>
    <row r="6" spans="1:65" s="5" customFormat="1" ht="28.5" customHeight="1">
      <c r="A6" s="108"/>
      <c r="AJ6" s="225"/>
      <c r="AK6" s="255"/>
      <c r="AL6" s="256"/>
      <c r="AM6" s="256"/>
      <c r="AN6" s="257"/>
      <c r="AO6" s="305" t="s">
        <v>418</v>
      </c>
      <c r="AP6" s="262"/>
      <c r="AQ6" s="261" t="s">
        <v>475</v>
      </c>
      <c r="AR6" s="262"/>
      <c r="AS6" s="261" t="s">
        <v>476</v>
      </c>
      <c r="AT6" s="306"/>
      <c r="BG6" s="3"/>
      <c r="BH6" s="3"/>
      <c r="BI6" s="3"/>
      <c r="BJ6" s="3"/>
      <c r="BK6" s="3"/>
      <c r="BL6" s="3"/>
      <c r="BM6" s="3"/>
    </row>
    <row r="7" spans="1:65" ht="29.4" thickBot="1">
      <c r="A7" s="107" t="s">
        <v>15</v>
      </c>
      <c r="B7" s="251"/>
      <c r="C7" s="251"/>
      <c r="D7" s="251"/>
      <c r="E7" s="251"/>
      <c r="F7" s="251"/>
      <c r="G7" s="251"/>
      <c r="H7" s="4" t="s">
        <v>186</v>
      </c>
      <c r="L7" s="251"/>
      <c r="M7" s="251"/>
      <c r="N7" s="251"/>
      <c r="O7" s="251"/>
      <c r="P7" s="251"/>
      <c r="Q7" s="251"/>
      <c r="R7" s="251"/>
      <c r="S7" s="251"/>
      <c r="T7" s="251"/>
      <c r="U7" s="251"/>
      <c r="V7" s="251"/>
      <c r="W7" s="251"/>
      <c r="X7" s="251"/>
      <c r="Y7" s="4" t="s">
        <v>2</v>
      </c>
      <c r="AA7" s="251"/>
      <c r="AB7" s="251"/>
      <c r="AC7" s="251"/>
      <c r="AD7" s="251"/>
      <c r="AE7" s="4" t="s">
        <v>3</v>
      </c>
      <c r="AH7" s="251"/>
      <c r="AI7" s="251"/>
      <c r="AJ7" s="225" t="s">
        <v>419</v>
      </c>
      <c r="AK7" s="255"/>
      <c r="AL7" s="256"/>
      <c r="AM7" s="256"/>
      <c r="AN7" s="257"/>
      <c r="AO7" s="238" t="s">
        <v>7</v>
      </c>
      <c r="AP7" s="239"/>
      <c r="AQ7" s="240" t="s">
        <v>7</v>
      </c>
      <c r="AR7" s="239"/>
      <c r="AS7" s="240" t="s">
        <v>7</v>
      </c>
      <c r="AT7" s="241"/>
      <c r="BG7" s="3"/>
      <c r="BH7" s="3"/>
      <c r="BI7" s="3"/>
      <c r="BJ7" s="3"/>
      <c r="BK7" s="3"/>
      <c r="BL7" s="3"/>
      <c r="BM7" s="3"/>
    </row>
    <row r="8" spans="1:65" ht="29.4" thickBot="1">
      <c r="A8" s="107" t="s">
        <v>195</v>
      </c>
      <c r="H8" s="4" t="s">
        <v>196</v>
      </c>
      <c r="Y8" s="4" t="s">
        <v>193</v>
      </c>
      <c r="AE8" s="4" t="s">
        <v>194</v>
      </c>
      <c r="AJ8" s="225"/>
      <c r="AK8" s="255"/>
      <c r="AL8" s="256"/>
      <c r="AM8" s="256"/>
      <c r="AN8" s="257"/>
      <c r="AO8" s="263" t="s">
        <v>620</v>
      </c>
      <c r="AP8" s="264"/>
      <c r="AQ8" s="264"/>
      <c r="AR8" s="264"/>
      <c r="AS8" s="264"/>
      <c r="AT8" s="265"/>
      <c r="BG8" s="3"/>
      <c r="BH8" s="3"/>
      <c r="BI8" s="3"/>
      <c r="BJ8" s="3"/>
      <c r="BK8" s="3"/>
      <c r="BL8" s="3"/>
      <c r="BM8" s="3"/>
    </row>
    <row r="9" spans="1:65" s="5" customFormat="1">
      <c r="A9" s="108"/>
      <c r="AJ9" s="109"/>
      <c r="AK9" s="255"/>
      <c r="AL9" s="256"/>
      <c r="AM9" s="256"/>
      <c r="AN9" s="257"/>
      <c r="AO9" s="230"/>
      <c r="AP9" s="231"/>
      <c r="AQ9" s="234"/>
      <c r="AR9" s="231"/>
      <c r="AS9" s="234"/>
      <c r="AT9" s="236"/>
      <c r="BG9" s="3"/>
      <c r="BH9" s="3"/>
      <c r="BI9" s="3"/>
      <c r="BJ9" s="3"/>
      <c r="BK9" s="3"/>
      <c r="BL9" s="3"/>
      <c r="BM9" s="3"/>
    </row>
    <row r="10" spans="1:65">
      <c r="A10" s="107" t="s">
        <v>187</v>
      </c>
      <c r="C10" s="250"/>
      <c r="D10" s="250"/>
      <c r="E10" s="250"/>
      <c r="F10" s="250"/>
      <c r="G10" s="250"/>
      <c r="H10" s="250"/>
      <c r="I10" s="250"/>
      <c r="J10" s="250"/>
      <c r="K10" s="250"/>
      <c r="L10" s="250"/>
      <c r="M10" s="250"/>
      <c r="O10" s="4" t="s">
        <v>188</v>
      </c>
      <c r="R10" s="250"/>
      <c r="S10" s="250"/>
      <c r="T10" s="250"/>
      <c r="U10" s="250"/>
      <c r="V10" s="250"/>
      <c r="W10" s="250"/>
      <c r="X10" s="250"/>
      <c r="Y10" s="250"/>
      <c r="Z10" s="250"/>
      <c r="AA10" s="250"/>
      <c r="AB10" s="250"/>
      <c r="AC10" s="250"/>
      <c r="AD10" s="250"/>
      <c r="AE10" s="4" t="s">
        <v>189</v>
      </c>
      <c r="AH10" s="250" t="s">
        <v>606</v>
      </c>
      <c r="AI10" s="250"/>
      <c r="AJ10" s="266"/>
      <c r="AK10" s="255"/>
      <c r="AL10" s="256"/>
      <c r="AM10" s="256"/>
      <c r="AN10" s="257"/>
      <c r="AO10" s="232"/>
      <c r="AP10" s="233"/>
      <c r="AQ10" s="235"/>
      <c r="AR10" s="233"/>
      <c r="AS10" s="235"/>
      <c r="AT10" s="237"/>
      <c r="BG10" s="3"/>
      <c r="BH10" s="3"/>
      <c r="BI10" s="3"/>
      <c r="BJ10" s="3"/>
      <c r="BK10" s="3"/>
      <c r="BL10" s="3"/>
      <c r="BM10" s="3"/>
    </row>
    <row r="11" spans="1:65" ht="33">
      <c r="A11" s="107" t="s">
        <v>197</v>
      </c>
      <c r="O11" s="4" t="s">
        <v>474</v>
      </c>
      <c r="AE11" s="4" t="s">
        <v>198</v>
      </c>
      <c r="AJ11" s="225"/>
      <c r="AK11" s="255"/>
      <c r="AL11" s="256"/>
      <c r="AM11" s="256"/>
      <c r="AN11" s="257"/>
      <c r="AO11" s="305" t="s">
        <v>418</v>
      </c>
      <c r="AP11" s="262"/>
      <c r="AQ11" s="261" t="s">
        <v>475</v>
      </c>
      <c r="AR11" s="262"/>
      <c r="AS11" s="261" t="s">
        <v>476</v>
      </c>
      <c r="AT11" s="306"/>
    </row>
    <row r="12" spans="1:65" ht="29.4" thickBot="1">
      <c r="A12" s="110"/>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2"/>
      <c r="AK12" s="258"/>
      <c r="AL12" s="259"/>
      <c r="AM12" s="259"/>
      <c r="AN12" s="260"/>
      <c r="AO12" s="238" t="s">
        <v>7</v>
      </c>
      <c r="AP12" s="239"/>
      <c r="AQ12" s="240" t="s">
        <v>7</v>
      </c>
      <c r="AR12" s="239"/>
      <c r="AS12" s="240" t="s">
        <v>7</v>
      </c>
      <c r="AT12" s="241"/>
    </row>
    <row r="13" spans="1:65" ht="13.5" customHeight="1" thickBot="1">
      <c r="A13" s="110"/>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2"/>
    </row>
    <row r="14" spans="1:65" s="6" customFormat="1" ht="60" customHeight="1" thickBot="1">
      <c r="A14" s="463" t="s">
        <v>200</v>
      </c>
      <c r="B14" s="464"/>
      <c r="C14" s="467" t="s">
        <v>202</v>
      </c>
      <c r="D14" s="468"/>
      <c r="E14" s="469"/>
      <c r="F14" s="267" t="str">
        <f>VLOOKUP($F$16,'Weight &amp; Grade Def.'!$B$7:$D$46,2,0)</f>
        <v>E7</v>
      </c>
      <c r="G14" s="272" t="str">
        <f>IFERROR(VLOOKUP($AX$1,'Weight &amp; Grade Def.'!$G$6:$N$86,8,0),"-")</f>
        <v>จัดการกับงานที่ได้รับมอบหมายตามขอบเขตงานให้สำเร็จลุล่วงภายใต้การกำกับดูแลที่จำกัด ; ตรวจสอบ และ แก้ไขปัญหาในระบบปฏิบัติการ หรือ กระบวนการทำงานที่มีอยู่ ณ ปัจจุบัน ; แก้ไขปัญหาในงานที่มีการระบุไว้แล้วอย่างชัดเจนในขอบเขตที่ได้รับมอบหมาย ; อธิบายเกี่ยวกับข้อเท็จจริง แนวปฏิบัติ นโยบายแก่้ผู้มีส่วนเกี่ยวข้องหลักภายในได้ ; ให้คำชี้แนะเกี่ยวกับความรู้ในงานแก่ระดับที่ต่ำกว่า ; มีความรู้เกี่ยวกับงานในเชิงปฏิบัติในขอบเขตงานหนึ่ง</v>
      </c>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4"/>
      <c r="AJ14" s="313" t="s">
        <v>205</v>
      </c>
      <c r="AK14" s="314"/>
      <c r="AL14" s="314"/>
      <c r="AM14" s="314"/>
      <c r="AN14" s="314"/>
      <c r="AO14" s="314"/>
      <c r="AP14" s="314"/>
      <c r="AQ14" s="314"/>
      <c r="AR14" s="314"/>
      <c r="AS14" s="314"/>
      <c r="AT14" s="315"/>
    </row>
    <row r="15" spans="1:65" s="6" customFormat="1" ht="60" customHeight="1" thickBot="1">
      <c r="A15" s="463"/>
      <c r="B15" s="464"/>
      <c r="C15" s="281"/>
      <c r="D15" s="282"/>
      <c r="E15" s="283"/>
      <c r="F15" s="268"/>
      <c r="G15" s="275"/>
      <c r="H15" s="276"/>
      <c r="I15" s="276"/>
      <c r="J15" s="276"/>
      <c r="K15" s="276"/>
      <c r="L15" s="276"/>
      <c r="M15" s="276"/>
      <c r="N15" s="276"/>
      <c r="O15" s="276"/>
      <c r="P15" s="276"/>
      <c r="Q15" s="276"/>
      <c r="R15" s="276"/>
      <c r="S15" s="276"/>
      <c r="T15" s="276"/>
      <c r="U15" s="276"/>
      <c r="V15" s="276"/>
      <c r="W15" s="276"/>
      <c r="X15" s="276"/>
      <c r="Y15" s="276"/>
      <c r="Z15" s="276"/>
      <c r="AA15" s="276"/>
      <c r="AB15" s="276"/>
      <c r="AC15" s="276"/>
      <c r="AD15" s="276"/>
      <c r="AE15" s="276"/>
      <c r="AF15" s="276"/>
      <c r="AG15" s="276"/>
      <c r="AH15" s="277"/>
      <c r="AJ15" s="7" t="s">
        <v>206</v>
      </c>
      <c r="AK15" s="325" t="s">
        <v>260</v>
      </c>
      <c r="AL15" s="325"/>
      <c r="AM15" s="325"/>
      <c r="AN15" s="325"/>
      <c r="AO15" s="325"/>
      <c r="AP15" s="325"/>
      <c r="AQ15" s="325"/>
      <c r="AR15" s="325"/>
      <c r="AS15" s="325"/>
      <c r="AT15" s="326"/>
    </row>
    <row r="16" spans="1:65" s="6" customFormat="1" ht="60" customHeight="1" thickBot="1">
      <c r="A16" s="463"/>
      <c r="B16" s="464"/>
      <c r="C16" s="278" t="s">
        <v>201</v>
      </c>
      <c r="D16" s="279"/>
      <c r="E16" s="280"/>
      <c r="F16" s="269" t="str">
        <f>AU1</f>
        <v>E8</v>
      </c>
      <c r="G16" s="290" t="str">
        <f>IFERROR(VLOOKUP($AW$1,'Weight &amp; Grade Def.'!$G$6:$N$86,8,0),"-")</f>
        <v>จัดการกับงานระดับพื้นฐานที่ได้รับมอบหมายตามขอบเขตงานให้สำเร็จลุล่วงภายใต้การกำกับดูแลทั่วไป ; ตรวจสอบระบบปฏิบัติการ หรือ กระบวนการทำงานที่มีอยู่ ณ ปัจจุบัน ; แก้ไขปัญหาในงานที่มีการระบุไว้แล้วอย่างชัดเจนในขอบเขตที่ได้รับมอบหมาย ; อธิบายเกี่ยวกับข้อเท็จจริง แนวการปฏิบัติ นโยบายแก่้ผู้มีส่วนเกี่ยวข้องหลักภายในได้ ; ให้คำชี้แนะเกี่ยวกับความรู้ในงานแก่ระดับที่ต่ำกว่า ; มีความรู้เกี่ยวกับงานในเชิงทฤษฎีในขอบเขตงานหนึ่ง</v>
      </c>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2"/>
      <c r="AJ16" s="8" t="s">
        <v>207</v>
      </c>
      <c r="AK16" s="342" t="s">
        <v>259</v>
      </c>
      <c r="AL16" s="342"/>
      <c r="AM16" s="342"/>
      <c r="AN16" s="342"/>
      <c r="AO16" s="342"/>
      <c r="AP16" s="342"/>
      <c r="AQ16" s="342"/>
      <c r="AR16" s="342"/>
      <c r="AS16" s="342"/>
      <c r="AT16" s="343"/>
    </row>
    <row r="17" spans="1:46" s="6" customFormat="1" ht="60" customHeight="1" thickBot="1">
      <c r="A17" s="463"/>
      <c r="B17" s="464"/>
      <c r="C17" s="281"/>
      <c r="D17" s="282"/>
      <c r="E17" s="283"/>
      <c r="F17" s="270"/>
      <c r="G17" s="275"/>
      <c r="H17" s="276"/>
      <c r="I17" s="276"/>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7"/>
      <c r="AJ17" s="217" t="s">
        <v>208</v>
      </c>
      <c r="AK17" s="330" t="s">
        <v>258</v>
      </c>
      <c r="AL17" s="330"/>
      <c r="AM17" s="330"/>
      <c r="AN17" s="330"/>
      <c r="AO17" s="330"/>
      <c r="AP17" s="330"/>
      <c r="AQ17" s="330"/>
      <c r="AR17" s="330"/>
      <c r="AS17" s="330"/>
      <c r="AT17" s="331"/>
    </row>
    <row r="18" spans="1:46" s="6" customFormat="1" ht="60" customHeight="1">
      <c r="A18" s="463"/>
      <c r="B18" s="464"/>
      <c r="C18" s="278" t="s">
        <v>203</v>
      </c>
      <c r="D18" s="279"/>
      <c r="E18" s="280"/>
      <c r="F18" s="271" t="str">
        <f>VLOOKUP($F$16,'Weight &amp; Grade Def.'!$B$7:$D$46,3,0)</f>
        <v>G9</v>
      </c>
      <c r="G18" s="290" t="str">
        <f>IFERROR(VLOOKUP($AY$1,'Weight &amp; Grade Def.'!$G$6:$N$86,8,0),"-")</f>
        <v>จัดการงานประจำให้สำเร็จลุล่วงภายใต้การกำกับดูแลในระดับปานกลาง ; ปฏิบัติงาน และ ทำการตรวจสอบเพื่อให้เป็นไปตามมาตรฐานการปฏิบัติงานที่มีอยู่ ณ ปัจจุบัน ; หากพบความผิดพลาด หรือเหตุการณ์ที่เกือบทำให้เกิดความผิดพลาดในขอบเขตการทำงานที่รับผิดชอบให้รายงานหัวหน้างานทันที ; ให้ข้อมูลพื้นฐานที่เกี่ยวกับงานที่ตนเองรับผิดชอบ รวมถึงอธิบายข้อเสนอแนะของตนเองแก่ผู้มีส่วนเกี่ยวข้องหลักภายในได้ ; แบ่งปันความรู้ในงานที่ทำกับผู้อื่น ; มีความรู้ และ ประสบการณ์ระดับพื้นฐานในขอบเขตงานหนึ่ง</v>
      </c>
      <c r="H18" s="291"/>
      <c r="I18" s="291"/>
      <c r="J18" s="291"/>
      <c r="K18" s="291"/>
      <c r="L18" s="291"/>
      <c r="M18" s="291"/>
      <c r="N18" s="291"/>
      <c r="O18" s="291"/>
      <c r="P18" s="291"/>
      <c r="Q18" s="291"/>
      <c r="R18" s="291"/>
      <c r="S18" s="291"/>
      <c r="T18" s="291"/>
      <c r="U18" s="291"/>
      <c r="V18" s="291"/>
      <c r="W18" s="291"/>
      <c r="X18" s="291"/>
      <c r="Y18" s="291"/>
      <c r="Z18" s="291"/>
      <c r="AA18" s="291"/>
      <c r="AB18" s="291"/>
      <c r="AC18" s="291"/>
      <c r="AD18" s="291"/>
      <c r="AE18" s="291"/>
      <c r="AF18" s="291"/>
      <c r="AG18" s="291"/>
      <c r="AH18" s="292"/>
      <c r="AJ18" s="9" t="s">
        <v>209</v>
      </c>
      <c r="AK18" s="332" t="s">
        <v>212</v>
      </c>
      <c r="AL18" s="332"/>
      <c r="AM18" s="332"/>
      <c r="AN18" s="332"/>
      <c r="AO18" s="332"/>
      <c r="AP18" s="332"/>
      <c r="AQ18" s="332"/>
      <c r="AR18" s="332"/>
      <c r="AS18" s="332"/>
      <c r="AT18" s="333"/>
    </row>
    <row r="19" spans="1:46" s="6" customFormat="1" ht="60" customHeight="1" thickBot="1">
      <c r="A19" s="465"/>
      <c r="B19" s="466"/>
      <c r="C19" s="281"/>
      <c r="D19" s="282"/>
      <c r="E19" s="283"/>
      <c r="F19" s="268"/>
      <c r="G19" s="275"/>
      <c r="H19" s="276"/>
      <c r="I19" s="276"/>
      <c r="J19" s="276"/>
      <c r="K19" s="276"/>
      <c r="L19" s="276"/>
      <c r="M19" s="276"/>
      <c r="N19" s="276"/>
      <c r="O19" s="276"/>
      <c r="P19" s="276"/>
      <c r="Q19" s="276"/>
      <c r="R19" s="276"/>
      <c r="S19" s="276"/>
      <c r="T19" s="276"/>
      <c r="U19" s="276"/>
      <c r="V19" s="276"/>
      <c r="W19" s="276"/>
      <c r="X19" s="276"/>
      <c r="Y19" s="276"/>
      <c r="Z19" s="276"/>
      <c r="AA19" s="276"/>
      <c r="AB19" s="276"/>
      <c r="AC19" s="276"/>
      <c r="AD19" s="276"/>
      <c r="AE19" s="276"/>
      <c r="AF19" s="276"/>
      <c r="AG19" s="276"/>
      <c r="AH19" s="277"/>
      <c r="AJ19" s="10" t="s">
        <v>210</v>
      </c>
      <c r="AK19" s="334" t="s">
        <v>211</v>
      </c>
      <c r="AL19" s="334"/>
      <c r="AM19" s="334"/>
      <c r="AN19" s="334"/>
      <c r="AO19" s="334"/>
      <c r="AP19" s="334"/>
      <c r="AQ19" s="334"/>
      <c r="AR19" s="334"/>
      <c r="AS19" s="334"/>
      <c r="AT19" s="335"/>
    </row>
    <row r="20" spans="1:46" ht="29.4" thickBot="1"/>
    <row r="21" spans="1:46" ht="29.4" thickBot="1">
      <c r="A21" s="11" t="s">
        <v>204</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3"/>
    </row>
    <row r="22" spans="1:46">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row>
    <row r="23" spans="1:46" s="3" customFormat="1" ht="34.950000000000003" customHeight="1">
      <c r="A23" s="470" t="s">
        <v>216</v>
      </c>
      <c r="B23" s="471"/>
      <c r="C23" s="293" t="s">
        <v>268</v>
      </c>
      <c r="D23" s="294"/>
      <c r="E23" s="294"/>
      <c r="F23" s="295"/>
      <c r="G23" s="293" t="s">
        <v>269</v>
      </c>
      <c r="H23" s="294"/>
      <c r="I23" s="294"/>
      <c r="J23" s="295"/>
      <c r="K23" s="284" t="s">
        <v>484</v>
      </c>
      <c r="L23" s="285"/>
      <c r="M23" s="285"/>
      <c r="N23" s="285"/>
      <c r="O23" s="285"/>
      <c r="P23" s="285"/>
      <c r="Q23" s="285"/>
      <c r="R23" s="285"/>
      <c r="S23" s="285"/>
      <c r="T23" s="285"/>
      <c r="U23" s="285"/>
      <c r="V23" s="285"/>
      <c r="W23" s="285"/>
      <c r="X23" s="285"/>
      <c r="Y23" s="285"/>
      <c r="Z23" s="285"/>
      <c r="AA23" s="285"/>
      <c r="AB23" s="286"/>
      <c r="AC23" s="344" t="s">
        <v>485</v>
      </c>
      <c r="AD23" s="345"/>
      <c r="AE23" s="345"/>
      <c r="AF23" s="345"/>
      <c r="AG23" s="345"/>
      <c r="AH23" s="345"/>
      <c r="AI23" s="345"/>
      <c r="AJ23" s="345"/>
      <c r="AK23" s="345"/>
      <c r="AL23" s="345"/>
      <c r="AM23" s="345"/>
      <c r="AN23" s="345"/>
      <c r="AO23" s="345"/>
      <c r="AP23" s="345"/>
      <c r="AQ23" s="345"/>
      <c r="AR23" s="345"/>
      <c r="AS23" s="345"/>
      <c r="AT23" s="346"/>
    </row>
    <row r="24" spans="1:46" ht="67.95" customHeight="1">
      <c r="A24" s="472"/>
      <c r="B24" s="473"/>
      <c r="C24" s="296"/>
      <c r="D24" s="297"/>
      <c r="E24" s="297"/>
      <c r="F24" s="298"/>
      <c r="G24" s="296"/>
      <c r="H24" s="297"/>
      <c r="I24" s="297"/>
      <c r="J24" s="298"/>
      <c r="K24" s="287" t="s">
        <v>261</v>
      </c>
      <c r="L24" s="288"/>
      <c r="M24" s="288"/>
      <c r="N24" s="288"/>
      <c r="O24" s="288"/>
      <c r="P24" s="289"/>
      <c r="Q24" s="287" t="s">
        <v>477</v>
      </c>
      <c r="R24" s="288"/>
      <c r="S24" s="288"/>
      <c r="T24" s="288"/>
      <c r="U24" s="288"/>
      <c r="V24" s="289"/>
      <c r="W24" s="287" t="s">
        <v>478</v>
      </c>
      <c r="X24" s="288"/>
      <c r="Y24" s="288"/>
      <c r="Z24" s="288"/>
      <c r="AA24" s="288"/>
      <c r="AB24" s="423"/>
      <c r="AC24" s="424" t="s">
        <v>261</v>
      </c>
      <c r="AD24" s="357"/>
      <c r="AE24" s="357"/>
      <c r="AF24" s="357"/>
      <c r="AG24" s="357"/>
      <c r="AH24" s="358"/>
      <c r="AI24" s="356" t="s">
        <v>477</v>
      </c>
      <c r="AJ24" s="357"/>
      <c r="AK24" s="357"/>
      <c r="AL24" s="357"/>
      <c r="AM24" s="357"/>
      <c r="AN24" s="358"/>
      <c r="AO24" s="356" t="s">
        <v>478</v>
      </c>
      <c r="AP24" s="357"/>
      <c r="AQ24" s="357"/>
      <c r="AR24" s="357"/>
      <c r="AS24" s="357"/>
      <c r="AT24" s="358"/>
    </row>
    <row r="25" spans="1:46" ht="30" customHeight="1">
      <c r="A25" s="472"/>
      <c r="B25" s="473"/>
      <c r="C25" s="296"/>
      <c r="D25" s="297"/>
      <c r="E25" s="297"/>
      <c r="F25" s="298"/>
      <c r="G25" s="296"/>
      <c r="H25" s="297"/>
      <c r="I25" s="297"/>
      <c r="J25" s="298"/>
      <c r="K25" s="15" t="s">
        <v>9</v>
      </c>
      <c r="L25" s="307" t="s">
        <v>213</v>
      </c>
      <c r="M25" s="308"/>
      <c r="N25" s="308"/>
      <c r="O25" s="308"/>
      <c r="P25" s="309"/>
      <c r="Q25" s="15" t="s">
        <v>9</v>
      </c>
      <c r="R25" s="307" t="s">
        <v>213</v>
      </c>
      <c r="S25" s="308"/>
      <c r="T25" s="308"/>
      <c r="U25" s="308"/>
      <c r="V25" s="309"/>
      <c r="W25" s="15" t="s">
        <v>9</v>
      </c>
      <c r="X25" s="307" t="s">
        <v>213</v>
      </c>
      <c r="Y25" s="308"/>
      <c r="Z25" s="308"/>
      <c r="AA25" s="308"/>
      <c r="AB25" s="426"/>
      <c r="AC25" s="88" t="s">
        <v>9</v>
      </c>
      <c r="AD25" s="336" t="s">
        <v>213</v>
      </c>
      <c r="AE25" s="337"/>
      <c r="AF25" s="337"/>
      <c r="AG25" s="337"/>
      <c r="AH25" s="338"/>
      <c r="AI25" s="69" t="s">
        <v>9</v>
      </c>
      <c r="AJ25" s="336" t="s">
        <v>213</v>
      </c>
      <c r="AK25" s="337"/>
      <c r="AL25" s="337"/>
      <c r="AM25" s="337"/>
      <c r="AN25" s="338"/>
      <c r="AO25" s="69" t="s">
        <v>9</v>
      </c>
      <c r="AP25" s="336" t="s">
        <v>213</v>
      </c>
      <c r="AQ25" s="337"/>
      <c r="AR25" s="337"/>
      <c r="AS25" s="337"/>
      <c r="AT25" s="338"/>
    </row>
    <row r="26" spans="1:46" ht="30" customHeight="1">
      <c r="A26" s="474"/>
      <c r="B26" s="475"/>
      <c r="C26" s="299"/>
      <c r="D26" s="300"/>
      <c r="E26" s="300"/>
      <c r="F26" s="301"/>
      <c r="G26" s="299"/>
      <c r="H26" s="300"/>
      <c r="I26" s="300"/>
      <c r="J26" s="301"/>
      <c r="K26" s="39" t="s">
        <v>214</v>
      </c>
      <c r="L26" s="310" t="s">
        <v>215</v>
      </c>
      <c r="M26" s="311"/>
      <c r="N26" s="311"/>
      <c r="O26" s="311"/>
      <c r="P26" s="312"/>
      <c r="Q26" s="37" t="s">
        <v>214</v>
      </c>
      <c r="R26" s="310" t="s">
        <v>215</v>
      </c>
      <c r="S26" s="311"/>
      <c r="T26" s="311"/>
      <c r="U26" s="311"/>
      <c r="V26" s="312"/>
      <c r="W26" s="37" t="s">
        <v>214</v>
      </c>
      <c r="X26" s="310" t="s">
        <v>215</v>
      </c>
      <c r="Y26" s="311"/>
      <c r="Z26" s="311"/>
      <c r="AA26" s="311"/>
      <c r="AB26" s="425"/>
      <c r="AC26" s="89" t="s">
        <v>214</v>
      </c>
      <c r="AD26" s="339" t="s">
        <v>215</v>
      </c>
      <c r="AE26" s="340"/>
      <c r="AF26" s="340"/>
      <c r="AG26" s="340"/>
      <c r="AH26" s="341"/>
      <c r="AI26" s="38" t="s">
        <v>214</v>
      </c>
      <c r="AJ26" s="339" t="s">
        <v>215</v>
      </c>
      <c r="AK26" s="340"/>
      <c r="AL26" s="340"/>
      <c r="AM26" s="340"/>
      <c r="AN26" s="341"/>
      <c r="AO26" s="38" t="s">
        <v>214</v>
      </c>
      <c r="AP26" s="339" t="s">
        <v>215</v>
      </c>
      <c r="AQ26" s="340"/>
      <c r="AR26" s="340"/>
      <c r="AS26" s="340"/>
      <c r="AT26" s="341"/>
    </row>
    <row r="27" spans="1:46" ht="22.05" customHeight="1">
      <c r="A27" s="374" t="s">
        <v>262</v>
      </c>
      <c r="B27" s="374"/>
      <c r="C27" s="375" t="str">
        <f>VLOOKUP($AW$1,'6 Factors Definition'!$B$3:$O$84,2,0)</f>
        <v xml:space="preserve">นำความรู้และทักษะไปใช้อย่างมีประสิทธิภาพ พัฒนาตนเองในลักษณะของการเพิ่มพูนประสิทธิภาพในบทบาทและหน้าที่ที่รับผิดชอบ และแสดงให้เห็นถึงการพัฒนาตนเองอย่างต่อเนื่องในฐานะผู้ปฏิบัติงาน
</v>
      </c>
      <c r="D27" s="376"/>
      <c r="E27" s="376"/>
      <c r="F27" s="377"/>
      <c r="G27" s="375" t="str">
        <f>VLOOKUP($AW$1,'6 Factors Definition'!$B$3:$O$84,9,0)</f>
        <v xml:space="preserve"> - รู้จักบทบาทที่คาดหวังและแสดงความรับผิดชอบตามที่คาดไว้
 - ดำเนินการให้ได้มาซึ่งความรู้ ทักษะ และความเชี่ยวชาญใหม่ ๆ
</v>
      </c>
      <c r="H27" s="376"/>
      <c r="I27" s="376"/>
      <c r="J27" s="377"/>
      <c r="K27" s="327">
        <v>5</v>
      </c>
      <c r="L27" s="317"/>
      <c r="M27" s="317"/>
      <c r="N27" s="317"/>
      <c r="O27" s="317"/>
      <c r="P27" s="318"/>
      <c r="Q27" s="327">
        <v>5</v>
      </c>
      <c r="R27" s="316"/>
      <c r="S27" s="317"/>
      <c r="T27" s="317"/>
      <c r="U27" s="317"/>
      <c r="V27" s="318"/>
      <c r="W27" s="327">
        <v>4</v>
      </c>
      <c r="X27" s="316"/>
      <c r="Y27" s="317"/>
      <c r="Z27" s="317"/>
      <c r="AA27" s="317"/>
      <c r="AB27" s="365"/>
      <c r="AC27" s="359">
        <v>4</v>
      </c>
      <c r="AD27" s="316"/>
      <c r="AE27" s="317"/>
      <c r="AF27" s="317"/>
      <c r="AG27" s="317"/>
      <c r="AH27" s="318"/>
      <c r="AI27" s="327">
        <v>4</v>
      </c>
      <c r="AJ27" s="316"/>
      <c r="AK27" s="317"/>
      <c r="AL27" s="317"/>
      <c r="AM27" s="317"/>
      <c r="AN27" s="318"/>
      <c r="AO27" s="327">
        <v>3</v>
      </c>
      <c r="AP27" s="316"/>
      <c r="AQ27" s="317"/>
      <c r="AR27" s="317"/>
      <c r="AS27" s="317"/>
      <c r="AT27" s="318"/>
    </row>
    <row r="28" spans="1:46" ht="22.05" customHeight="1">
      <c r="A28" s="374"/>
      <c r="B28" s="374"/>
      <c r="C28" s="378"/>
      <c r="D28" s="379"/>
      <c r="E28" s="379"/>
      <c r="F28" s="380"/>
      <c r="G28" s="378"/>
      <c r="H28" s="379"/>
      <c r="I28" s="379"/>
      <c r="J28" s="380"/>
      <c r="K28" s="328"/>
      <c r="L28" s="320"/>
      <c r="M28" s="320"/>
      <c r="N28" s="320"/>
      <c r="O28" s="320"/>
      <c r="P28" s="321"/>
      <c r="Q28" s="328"/>
      <c r="R28" s="319"/>
      <c r="S28" s="320"/>
      <c r="T28" s="320"/>
      <c r="U28" s="320"/>
      <c r="V28" s="321"/>
      <c r="W28" s="328"/>
      <c r="X28" s="319"/>
      <c r="Y28" s="320"/>
      <c r="Z28" s="320"/>
      <c r="AA28" s="320"/>
      <c r="AB28" s="366"/>
      <c r="AC28" s="360"/>
      <c r="AD28" s="319"/>
      <c r="AE28" s="320"/>
      <c r="AF28" s="320"/>
      <c r="AG28" s="320"/>
      <c r="AH28" s="321"/>
      <c r="AI28" s="328"/>
      <c r="AJ28" s="319"/>
      <c r="AK28" s="320"/>
      <c r="AL28" s="320"/>
      <c r="AM28" s="320"/>
      <c r="AN28" s="321"/>
      <c r="AO28" s="328"/>
      <c r="AP28" s="319"/>
      <c r="AQ28" s="320"/>
      <c r="AR28" s="320"/>
      <c r="AS28" s="320"/>
      <c r="AT28" s="321"/>
    </row>
    <row r="29" spans="1:46" ht="22.05" customHeight="1">
      <c r="A29" s="374"/>
      <c r="B29" s="374"/>
      <c r="C29" s="378"/>
      <c r="D29" s="379"/>
      <c r="E29" s="379"/>
      <c r="F29" s="380"/>
      <c r="G29" s="378"/>
      <c r="H29" s="379"/>
      <c r="I29" s="379"/>
      <c r="J29" s="380"/>
      <c r="K29" s="328"/>
      <c r="L29" s="320"/>
      <c r="M29" s="320"/>
      <c r="N29" s="320"/>
      <c r="O29" s="320"/>
      <c r="P29" s="321"/>
      <c r="Q29" s="328"/>
      <c r="R29" s="319"/>
      <c r="S29" s="320"/>
      <c r="T29" s="320"/>
      <c r="U29" s="320"/>
      <c r="V29" s="321"/>
      <c r="W29" s="328"/>
      <c r="X29" s="319"/>
      <c r="Y29" s="320"/>
      <c r="Z29" s="320"/>
      <c r="AA29" s="320"/>
      <c r="AB29" s="366"/>
      <c r="AC29" s="360"/>
      <c r="AD29" s="319"/>
      <c r="AE29" s="320"/>
      <c r="AF29" s="320"/>
      <c r="AG29" s="320"/>
      <c r="AH29" s="321"/>
      <c r="AI29" s="328"/>
      <c r="AJ29" s="319"/>
      <c r="AK29" s="320"/>
      <c r="AL29" s="320"/>
      <c r="AM29" s="320"/>
      <c r="AN29" s="321"/>
      <c r="AO29" s="328"/>
      <c r="AP29" s="319"/>
      <c r="AQ29" s="320"/>
      <c r="AR29" s="320"/>
      <c r="AS29" s="320"/>
      <c r="AT29" s="321"/>
    </row>
    <row r="30" spans="1:46" ht="22.05" customHeight="1">
      <c r="A30" s="374"/>
      <c r="B30" s="374"/>
      <c r="C30" s="378"/>
      <c r="D30" s="379"/>
      <c r="E30" s="379"/>
      <c r="F30" s="380"/>
      <c r="G30" s="378"/>
      <c r="H30" s="379"/>
      <c r="I30" s="379"/>
      <c r="J30" s="380"/>
      <c r="K30" s="328"/>
      <c r="L30" s="320"/>
      <c r="M30" s="320"/>
      <c r="N30" s="320"/>
      <c r="O30" s="320"/>
      <c r="P30" s="321"/>
      <c r="Q30" s="328"/>
      <c r="R30" s="319"/>
      <c r="S30" s="320"/>
      <c r="T30" s="320"/>
      <c r="U30" s="320"/>
      <c r="V30" s="321"/>
      <c r="W30" s="328"/>
      <c r="X30" s="319"/>
      <c r="Y30" s="320"/>
      <c r="Z30" s="320"/>
      <c r="AA30" s="320"/>
      <c r="AB30" s="366"/>
      <c r="AC30" s="360"/>
      <c r="AD30" s="319"/>
      <c r="AE30" s="320"/>
      <c r="AF30" s="320"/>
      <c r="AG30" s="320"/>
      <c r="AH30" s="321"/>
      <c r="AI30" s="328"/>
      <c r="AJ30" s="319"/>
      <c r="AK30" s="320"/>
      <c r="AL30" s="320"/>
      <c r="AM30" s="320"/>
      <c r="AN30" s="321"/>
      <c r="AO30" s="328"/>
      <c r="AP30" s="319"/>
      <c r="AQ30" s="320"/>
      <c r="AR30" s="320"/>
      <c r="AS30" s="320"/>
      <c r="AT30" s="321"/>
    </row>
    <row r="31" spans="1:46" ht="22.05" customHeight="1">
      <c r="A31" s="374"/>
      <c r="B31" s="374"/>
      <c r="C31" s="378"/>
      <c r="D31" s="379"/>
      <c r="E31" s="379"/>
      <c r="F31" s="380"/>
      <c r="G31" s="378"/>
      <c r="H31" s="379"/>
      <c r="I31" s="379"/>
      <c r="J31" s="380"/>
      <c r="K31" s="328"/>
      <c r="L31" s="320"/>
      <c r="M31" s="320"/>
      <c r="N31" s="320"/>
      <c r="O31" s="320"/>
      <c r="P31" s="321"/>
      <c r="Q31" s="328"/>
      <c r="R31" s="319"/>
      <c r="S31" s="320"/>
      <c r="T31" s="320"/>
      <c r="U31" s="320"/>
      <c r="V31" s="321"/>
      <c r="W31" s="328"/>
      <c r="X31" s="319"/>
      <c r="Y31" s="320"/>
      <c r="Z31" s="320"/>
      <c r="AA31" s="320"/>
      <c r="AB31" s="366"/>
      <c r="AC31" s="360"/>
      <c r="AD31" s="319"/>
      <c r="AE31" s="320"/>
      <c r="AF31" s="320"/>
      <c r="AG31" s="320"/>
      <c r="AH31" s="321"/>
      <c r="AI31" s="328"/>
      <c r="AJ31" s="319"/>
      <c r="AK31" s="320"/>
      <c r="AL31" s="320"/>
      <c r="AM31" s="320"/>
      <c r="AN31" s="321"/>
      <c r="AO31" s="328"/>
      <c r="AP31" s="319"/>
      <c r="AQ31" s="320"/>
      <c r="AR31" s="320"/>
      <c r="AS31" s="320"/>
      <c r="AT31" s="321"/>
    </row>
    <row r="32" spans="1:46" ht="22.05" customHeight="1">
      <c r="A32" s="374"/>
      <c r="B32" s="374"/>
      <c r="C32" s="381"/>
      <c r="D32" s="382"/>
      <c r="E32" s="382"/>
      <c r="F32" s="383"/>
      <c r="G32" s="381"/>
      <c r="H32" s="382"/>
      <c r="I32" s="382"/>
      <c r="J32" s="383"/>
      <c r="K32" s="329"/>
      <c r="L32" s="323"/>
      <c r="M32" s="323"/>
      <c r="N32" s="323"/>
      <c r="O32" s="323"/>
      <c r="P32" s="324"/>
      <c r="Q32" s="329"/>
      <c r="R32" s="322"/>
      <c r="S32" s="323"/>
      <c r="T32" s="323"/>
      <c r="U32" s="323"/>
      <c r="V32" s="324"/>
      <c r="W32" s="329"/>
      <c r="X32" s="322"/>
      <c r="Y32" s="323"/>
      <c r="Z32" s="323"/>
      <c r="AA32" s="323"/>
      <c r="AB32" s="367"/>
      <c r="AC32" s="361"/>
      <c r="AD32" s="322"/>
      <c r="AE32" s="323"/>
      <c r="AF32" s="323"/>
      <c r="AG32" s="323"/>
      <c r="AH32" s="324"/>
      <c r="AI32" s="329"/>
      <c r="AJ32" s="322"/>
      <c r="AK32" s="323"/>
      <c r="AL32" s="323"/>
      <c r="AM32" s="323"/>
      <c r="AN32" s="324"/>
      <c r="AO32" s="329"/>
      <c r="AP32" s="322"/>
      <c r="AQ32" s="323"/>
      <c r="AR32" s="323"/>
      <c r="AS32" s="323"/>
      <c r="AT32" s="324"/>
    </row>
    <row r="33" spans="1:46" ht="22.05" customHeight="1">
      <c r="A33" s="374" t="s">
        <v>263</v>
      </c>
      <c r="B33" s="374"/>
      <c r="C33" s="375" t="str">
        <f>VLOOKUP($AW$1,'6 Factors Definition'!$B$3:$O$84,3,0)</f>
        <v>ทำงานร่วมกับผู้อื่นได้อย่างมีประสิทธิภาพ รวมถึงสามารถสื่อสารเพื่อจูงใจและโน้มน้าวผู้อื่นได้อย่างเหมาะสมในฐานะผู้ปฏิบัติงาน</v>
      </c>
      <c r="D33" s="376"/>
      <c r="E33" s="376"/>
      <c r="F33" s="377"/>
      <c r="G33" s="375" t="str">
        <f>VLOOKUP($AW$1,'6 Factors Definition'!$B$3:$O$84,10,0)</f>
        <v xml:space="preserve"> - ทำงานร่วมกับผู้อื่นเพื่อบรรลุเป้าหมายร่วมได้
 - สื่อสาร และ โน้มน้าวผู้อื่นได้อย่างมีประสิทธิภาพ</v>
      </c>
      <c r="H33" s="376"/>
      <c r="I33" s="376"/>
      <c r="J33" s="377"/>
      <c r="K33" s="327">
        <v>5</v>
      </c>
      <c r="L33" s="316"/>
      <c r="M33" s="317"/>
      <c r="N33" s="317"/>
      <c r="O33" s="317"/>
      <c r="P33" s="318"/>
      <c r="Q33" s="327">
        <v>5</v>
      </c>
      <c r="R33" s="316"/>
      <c r="S33" s="317"/>
      <c r="T33" s="317"/>
      <c r="U33" s="317"/>
      <c r="V33" s="318"/>
      <c r="W33" s="327">
        <v>3</v>
      </c>
      <c r="X33" s="316"/>
      <c r="Y33" s="317"/>
      <c r="Z33" s="317"/>
      <c r="AA33" s="317"/>
      <c r="AB33" s="365"/>
      <c r="AC33" s="359">
        <v>5</v>
      </c>
      <c r="AD33" s="316"/>
      <c r="AE33" s="317"/>
      <c r="AF33" s="317"/>
      <c r="AG33" s="317"/>
      <c r="AH33" s="318"/>
      <c r="AI33" s="327">
        <v>5</v>
      </c>
      <c r="AJ33" s="316"/>
      <c r="AK33" s="317"/>
      <c r="AL33" s="317"/>
      <c r="AM33" s="317"/>
      <c r="AN33" s="318"/>
      <c r="AO33" s="327">
        <v>5</v>
      </c>
      <c r="AP33" s="316"/>
      <c r="AQ33" s="317"/>
      <c r="AR33" s="317"/>
      <c r="AS33" s="317"/>
      <c r="AT33" s="318"/>
    </row>
    <row r="34" spans="1:46" ht="22.05" customHeight="1">
      <c r="A34" s="374"/>
      <c r="B34" s="374"/>
      <c r="C34" s="378"/>
      <c r="D34" s="379"/>
      <c r="E34" s="379"/>
      <c r="F34" s="380"/>
      <c r="G34" s="378"/>
      <c r="H34" s="379"/>
      <c r="I34" s="379"/>
      <c r="J34" s="380"/>
      <c r="K34" s="328"/>
      <c r="L34" s="319"/>
      <c r="M34" s="320"/>
      <c r="N34" s="320"/>
      <c r="O34" s="320"/>
      <c r="P34" s="321"/>
      <c r="Q34" s="328"/>
      <c r="R34" s="319"/>
      <c r="S34" s="320"/>
      <c r="T34" s="320"/>
      <c r="U34" s="320"/>
      <c r="V34" s="321"/>
      <c r="W34" s="328"/>
      <c r="X34" s="319"/>
      <c r="Y34" s="320"/>
      <c r="Z34" s="320"/>
      <c r="AA34" s="320"/>
      <c r="AB34" s="366"/>
      <c r="AC34" s="360"/>
      <c r="AD34" s="319"/>
      <c r="AE34" s="320"/>
      <c r="AF34" s="320"/>
      <c r="AG34" s="320"/>
      <c r="AH34" s="321"/>
      <c r="AI34" s="328"/>
      <c r="AJ34" s="319"/>
      <c r="AK34" s="320"/>
      <c r="AL34" s="320"/>
      <c r="AM34" s="320"/>
      <c r="AN34" s="321"/>
      <c r="AO34" s="328"/>
      <c r="AP34" s="319"/>
      <c r="AQ34" s="320"/>
      <c r="AR34" s="320"/>
      <c r="AS34" s="320"/>
      <c r="AT34" s="321"/>
    </row>
    <row r="35" spans="1:46" ht="22.05" customHeight="1">
      <c r="A35" s="374"/>
      <c r="B35" s="374"/>
      <c r="C35" s="378"/>
      <c r="D35" s="379"/>
      <c r="E35" s="379"/>
      <c r="F35" s="380"/>
      <c r="G35" s="378"/>
      <c r="H35" s="379"/>
      <c r="I35" s="379"/>
      <c r="J35" s="380"/>
      <c r="K35" s="328"/>
      <c r="L35" s="319"/>
      <c r="M35" s="320"/>
      <c r="N35" s="320"/>
      <c r="O35" s="320"/>
      <c r="P35" s="321"/>
      <c r="Q35" s="328"/>
      <c r="R35" s="319"/>
      <c r="S35" s="320"/>
      <c r="T35" s="320"/>
      <c r="U35" s="320"/>
      <c r="V35" s="321"/>
      <c r="W35" s="328"/>
      <c r="X35" s="319"/>
      <c r="Y35" s="320"/>
      <c r="Z35" s="320"/>
      <c r="AA35" s="320"/>
      <c r="AB35" s="366"/>
      <c r="AC35" s="360"/>
      <c r="AD35" s="319"/>
      <c r="AE35" s="320"/>
      <c r="AF35" s="320"/>
      <c r="AG35" s="320"/>
      <c r="AH35" s="321"/>
      <c r="AI35" s="328"/>
      <c r="AJ35" s="319"/>
      <c r="AK35" s="320"/>
      <c r="AL35" s="320"/>
      <c r="AM35" s="320"/>
      <c r="AN35" s="321"/>
      <c r="AO35" s="328"/>
      <c r="AP35" s="319"/>
      <c r="AQ35" s="320"/>
      <c r="AR35" s="320"/>
      <c r="AS35" s="320"/>
      <c r="AT35" s="321"/>
    </row>
    <row r="36" spans="1:46" ht="22.05" customHeight="1">
      <c r="A36" s="374"/>
      <c r="B36" s="374"/>
      <c r="C36" s="378"/>
      <c r="D36" s="379"/>
      <c r="E36" s="379"/>
      <c r="F36" s="380"/>
      <c r="G36" s="378"/>
      <c r="H36" s="379"/>
      <c r="I36" s="379"/>
      <c r="J36" s="380"/>
      <c r="K36" s="328"/>
      <c r="L36" s="319"/>
      <c r="M36" s="320"/>
      <c r="N36" s="320"/>
      <c r="O36" s="320"/>
      <c r="P36" s="321"/>
      <c r="Q36" s="328"/>
      <c r="R36" s="319"/>
      <c r="S36" s="320"/>
      <c r="T36" s="320"/>
      <c r="U36" s="320"/>
      <c r="V36" s="321"/>
      <c r="W36" s="328"/>
      <c r="X36" s="319"/>
      <c r="Y36" s="320"/>
      <c r="Z36" s="320"/>
      <c r="AA36" s="320"/>
      <c r="AB36" s="366"/>
      <c r="AC36" s="360"/>
      <c r="AD36" s="319"/>
      <c r="AE36" s="320"/>
      <c r="AF36" s="320"/>
      <c r="AG36" s="320"/>
      <c r="AH36" s="321"/>
      <c r="AI36" s="328"/>
      <c r="AJ36" s="319"/>
      <c r="AK36" s="320"/>
      <c r="AL36" s="320"/>
      <c r="AM36" s="320"/>
      <c r="AN36" s="321"/>
      <c r="AO36" s="328"/>
      <c r="AP36" s="319"/>
      <c r="AQ36" s="320"/>
      <c r="AR36" s="320"/>
      <c r="AS36" s="320"/>
      <c r="AT36" s="321"/>
    </row>
    <row r="37" spans="1:46" ht="22.05" customHeight="1">
      <c r="A37" s="374"/>
      <c r="B37" s="374"/>
      <c r="C37" s="378"/>
      <c r="D37" s="379"/>
      <c r="E37" s="379"/>
      <c r="F37" s="380"/>
      <c r="G37" s="378"/>
      <c r="H37" s="379"/>
      <c r="I37" s="379"/>
      <c r="J37" s="380"/>
      <c r="K37" s="328"/>
      <c r="L37" s="319"/>
      <c r="M37" s="320"/>
      <c r="N37" s="320"/>
      <c r="O37" s="320"/>
      <c r="P37" s="321"/>
      <c r="Q37" s="328"/>
      <c r="R37" s="319"/>
      <c r="S37" s="320"/>
      <c r="T37" s="320"/>
      <c r="U37" s="320"/>
      <c r="V37" s="321"/>
      <c r="W37" s="328"/>
      <c r="X37" s="319"/>
      <c r="Y37" s="320"/>
      <c r="Z37" s="320"/>
      <c r="AA37" s="320"/>
      <c r="AB37" s="366"/>
      <c r="AC37" s="360"/>
      <c r="AD37" s="319"/>
      <c r="AE37" s="320"/>
      <c r="AF37" s="320"/>
      <c r="AG37" s="320"/>
      <c r="AH37" s="321"/>
      <c r="AI37" s="328"/>
      <c r="AJ37" s="319"/>
      <c r="AK37" s="320"/>
      <c r="AL37" s="320"/>
      <c r="AM37" s="320"/>
      <c r="AN37" s="321"/>
      <c r="AO37" s="328"/>
      <c r="AP37" s="319"/>
      <c r="AQ37" s="320"/>
      <c r="AR37" s="320"/>
      <c r="AS37" s="320"/>
      <c r="AT37" s="321"/>
    </row>
    <row r="38" spans="1:46" ht="22.05" customHeight="1">
      <c r="A38" s="374"/>
      <c r="B38" s="374"/>
      <c r="C38" s="381"/>
      <c r="D38" s="382"/>
      <c r="E38" s="382"/>
      <c r="F38" s="383"/>
      <c r="G38" s="381"/>
      <c r="H38" s="382"/>
      <c r="I38" s="382"/>
      <c r="J38" s="383"/>
      <c r="K38" s="329"/>
      <c r="L38" s="322"/>
      <c r="M38" s="323"/>
      <c r="N38" s="323"/>
      <c r="O38" s="323"/>
      <c r="P38" s="324"/>
      <c r="Q38" s="329"/>
      <c r="R38" s="322"/>
      <c r="S38" s="323"/>
      <c r="T38" s="323"/>
      <c r="U38" s="323"/>
      <c r="V38" s="324"/>
      <c r="W38" s="329"/>
      <c r="X38" s="322"/>
      <c r="Y38" s="323"/>
      <c r="Z38" s="323"/>
      <c r="AA38" s="323"/>
      <c r="AB38" s="367"/>
      <c r="AC38" s="361"/>
      <c r="AD38" s="322"/>
      <c r="AE38" s="323"/>
      <c r="AF38" s="323"/>
      <c r="AG38" s="323"/>
      <c r="AH38" s="324"/>
      <c r="AI38" s="329"/>
      <c r="AJ38" s="322"/>
      <c r="AK38" s="323"/>
      <c r="AL38" s="323"/>
      <c r="AM38" s="323"/>
      <c r="AN38" s="324"/>
      <c r="AO38" s="329"/>
      <c r="AP38" s="322"/>
      <c r="AQ38" s="323"/>
      <c r="AR38" s="323"/>
      <c r="AS38" s="323"/>
      <c r="AT38" s="324"/>
    </row>
    <row r="39" spans="1:46" ht="22.05" customHeight="1">
      <c r="A39" s="374" t="s">
        <v>264</v>
      </c>
      <c r="B39" s="374"/>
      <c r="C39" s="375" t="str">
        <f>VLOOKUP($AW$1,'6 Factors Definition'!$B$3:$O$84,4,0)</f>
        <v>คิดวิเคราะห์ เพื่อระบุปัญหา พร้อมกับพิจารณาทางเลือก และพัฒนาวิธีการแก้ปัญหาในงานที่ตนเองได้รับมอบหมาย</v>
      </c>
      <c r="D39" s="376"/>
      <c r="E39" s="376"/>
      <c r="F39" s="377"/>
      <c r="G39" s="375" t="str">
        <f>VLOOKUP($AW$1,'6 Factors Definition'!$B$3:$O$84,11,0)</f>
        <v xml:space="preserve"> - คิดเชิงวิเคราะห์เพื่อระบุปัญหา และวิธีการแก้ไข
 - ตัดสินใจ ภายใต้ขอบเขตของอำนาจที่ได้รับมอบหมาย และลงมือแก้ไขปัญหาตามเวลาที่กำหนด</v>
      </c>
      <c r="H39" s="376"/>
      <c r="I39" s="376"/>
      <c r="J39" s="377"/>
      <c r="K39" s="327">
        <v>5</v>
      </c>
      <c r="L39" s="316"/>
      <c r="M39" s="317"/>
      <c r="N39" s="317"/>
      <c r="O39" s="317"/>
      <c r="P39" s="318"/>
      <c r="Q39" s="327">
        <v>5</v>
      </c>
      <c r="R39" s="316"/>
      <c r="S39" s="317"/>
      <c r="T39" s="317"/>
      <c r="U39" s="317"/>
      <c r="V39" s="318"/>
      <c r="W39" s="327">
        <v>3</v>
      </c>
      <c r="X39" s="316"/>
      <c r="Y39" s="317"/>
      <c r="Z39" s="317"/>
      <c r="AA39" s="317"/>
      <c r="AB39" s="365"/>
      <c r="AC39" s="359">
        <v>5</v>
      </c>
      <c r="AD39" s="316"/>
      <c r="AE39" s="317"/>
      <c r="AF39" s="317"/>
      <c r="AG39" s="317"/>
      <c r="AH39" s="318"/>
      <c r="AI39" s="327">
        <v>5</v>
      </c>
      <c r="AJ39" s="316"/>
      <c r="AK39" s="317"/>
      <c r="AL39" s="317"/>
      <c r="AM39" s="317"/>
      <c r="AN39" s="318"/>
      <c r="AO39" s="327">
        <v>5</v>
      </c>
      <c r="AP39" s="316"/>
      <c r="AQ39" s="317"/>
      <c r="AR39" s="317"/>
      <c r="AS39" s="317"/>
      <c r="AT39" s="318"/>
    </row>
    <row r="40" spans="1:46" ht="22.05" customHeight="1">
      <c r="A40" s="374"/>
      <c r="B40" s="374"/>
      <c r="C40" s="378"/>
      <c r="D40" s="379"/>
      <c r="E40" s="379"/>
      <c r="F40" s="380"/>
      <c r="G40" s="378"/>
      <c r="H40" s="379"/>
      <c r="I40" s="379"/>
      <c r="J40" s="380"/>
      <c r="K40" s="328"/>
      <c r="L40" s="319"/>
      <c r="M40" s="320"/>
      <c r="N40" s="320"/>
      <c r="O40" s="320"/>
      <c r="P40" s="321"/>
      <c r="Q40" s="328"/>
      <c r="R40" s="319"/>
      <c r="S40" s="320"/>
      <c r="T40" s="320"/>
      <c r="U40" s="320"/>
      <c r="V40" s="321"/>
      <c r="W40" s="328"/>
      <c r="X40" s="319"/>
      <c r="Y40" s="320"/>
      <c r="Z40" s="320"/>
      <c r="AA40" s="320"/>
      <c r="AB40" s="366"/>
      <c r="AC40" s="360"/>
      <c r="AD40" s="319"/>
      <c r="AE40" s="320"/>
      <c r="AF40" s="320"/>
      <c r="AG40" s="320"/>
      <c r="AH40" s="321"/>
      <c r="AI40" s="328"/>
      <c r="AJ40" s="319"/>
      <c r="AK40" s="320"/>
      <c r="AL40" s="320"/>
      <c r="AM40" s="320"/>
      <c r="AN40" s="321"/>
      <c r="AO40" s="328"/>
      <c r="AP40" s="319"/>
      <c r="AQ40" s="320"/>
      <c r="AR40" s="320"/>
      <c r="AS40" s="320"/>
      <c r="AT40" s="321"/>
    </row>
    <row r="41" spans="1:46" ht="22.05" customHeight="1">
      <c r="A41" s="374"/>
      <c r="B41" s="374"/>
      <c r="C41" s="378"/>
      <c r="D41" s="379"/>
      <c r="E41" s="379"/>
      <c r="F41" s="380"/>
      <c r="G41" s="378"/>
      <c r="H41" s="379"/>
      <c r="I41" s="379"/>
      <c r="J41" s="380"/>
      <c r="K41" s="328"/>
      <c r="L41" s="319"/>
      <c r="M41" s="320"/>
      <c r="N41" s="320"/>
      <c r="O41" s="320"/>
      <c r="P41" s="321"/>
      <c r="Q41" s="328"/>
      <c r="R41" s="319"/>
      <c r="S41" s="320"/>
      <c r="T41" s="320"/>
      <c r="U41" s="320"/>
      <c r="V41" s="321"/>
      <c r="W41" s="328"/>
      <c r="X41" s="319"/>
      <c r="Y41" s="320"/>
      <c r="Z41" s="320"/>
      <c r="AA41" s="320"/>
      <c r="AB41" s="366"/>
      <c r="AC41" s="360"/>
      <c r="AD41" s="319"/>
      <c r="AE41" s="320"/>
      <c r="AF41" s="320"/>
      <c r="AG41" s="320"/>
      <c r="AH41" s="321"/>
      <c r="AI41" s="328"/>
      <c r="AJ41" s="319"/>
      <c r="AK41" s="320"/>
      <c r="AL41" s="320"/>
      <c r="AM41" s="320"/>
      <c r="AN41" s="321"/>
      <c r="AO41" s="328"/>
      <c r="AP41" s="319"/>
      <c r="AQ41" s="320"/>
      <c r="AR41" s="320"/>
      <c r="AS41" s="320"/>
      <c r="AT41" s="321"/>
    </row>
    <row r="42" spans="1:46" ht="22.05" customHeight="1">
      <c r="A42" s="374"/>
      <c r="B42" s="374"/>
      <c r="C42" s="378"/>
      <c r="D42" s="379"/>
      <c r="E42" s="379"/>
      <c r="F42" s="380"/>
      <c r="G42" s="378"/>
      <c r="H42" s="379"/>
      <c r="I42" s="379"/>
      <c r="J42" s="380"/>
      <c r="K42" s="328"/>
      <c r="L42" s="319"/>
      <c r="M42" s="320"/>
      <c r="N42" s="320"/>
      <c r="O42" s="320"/>
      <c r="P42" s="321"/>
      <c r="Q42" s="328"/>
      <c r="R42" s="319"/>
      <c r="S42" s="320"/>
      <c r="T42" s="320"/>
      <c r="U42" s="320"/>
      <c r="V42" s="321"/>
      <c r="W42" s="328"/>
      <c r="X42" s="319"/>
      <c r="Y42" s="320"/>
      <c r="Z42" s="320"/>
      <c r="AA42" s="320"/>
      <c r="AB42" s="366"/>
      <c r="AC42" s="360"/>
      <c r="AD42" s="319"/>
      <c r="AE42" s="320"/>
      <c r="AF42" s="320"/>
      <c r="AG42" s="320"/>
      <c r="AH42" s="321"/>
      <c r="AI42" s="328"/>
      <c r="AJ42" s="319"/>
      <c r="AK42" s="320"/>
      <c r="AL42" s="320"/>
      <c r="AM42" s="320"/>
      <c r="AN42" s="321"/>
      <c r="AO42" s="328"/>
      <c r="AP42" s="319"/>
      <c r="AQ42" s="320"/>
      <c r="AR42" s="320"/>
      <c r="AS42" s="320"/>
      <c r="AT42" s="321"/>
    </row>
    <row r="43" spans="1:46" ht="22.05" customHeight="1">
      <c r="A43" s="374"/>
      <c r="B43" s="374"/>
      <c r="C43" s="378"/>
      <c r="D43" s="379"/>
      <c r="E43" s="379"/>
      <c r="F43" s="380"/>
      <c r="G43" s="378"/>
      <c r="H43" s="379"/>
      <c r="I43" s="379"/>
      <c r="J43" s="380"/>
      <c r="K43" s="328"/>
      <c r="L43" s="319"/>
      <c r="M43" s="320"/>
      <c r="N43" s="320"/>
      <c r="O43" s="320"/>
      <c r="P43" s="321"/>
      <c r="Q43" s="328"/>
      <c r="R43" s="319"/>
      <c r="S43" s="320"/>
      <c r="T43" s="320"/>
      <c r="U43" s="320"/>
      <c r="V43" s="321"/>
      <c r="W43" s="328"/>
      <c r="X43" s="319"/>
      <c r="Y43" s="320"/>
      <c r="Z43" s="320"/>
      <c r="AA43" s="320"/>
      <c r="AB43" s="366"/>
      <c r="AC43" s="360"/>
      <c r="AD43" s="319"/>
      <c r="AE43" s="320"/>
      <c r="AF43" s="320"/>
      <c r="AG43" s="320"/>
      <c r="AH43" s="321"/>
      <c r="AI43" s="328"/>
      <c r="AJ43" s="319"/>
      <c r="AK43" s="320"/>
      <c r="AL43" s="320"/>
      <c r="AM43" s="320"/>
      <c r="AN43" s="321"/>
      <c r="AO43" s="328"/>
      <c r="AP43" s="319"/>
      <c r="AQ43" s="320"/>
      <c r="AR43" s="320"/>
      <c r="AS43" s="320"/>
      <c r="AT43" s="321"/>
    </row>
    <row r="44" spans="1:46" ht="22.05" customHeight="1">
      <c r="A44" s="374"/>
      <c r="B44" s="374"/>
      <c r="C44" s="381"/>
      <c r="D44" s="382"/>
      <c r="E44" s="382"/>
      <c r="F44" s="383"/>
      <c r="G44" s="381"/>
      <c r="H44" s="382"/>
      <c r="I44" s="382"/>
      <c r="J44" s="383"/>
      <c r="K44" s="329"/>
      <c r="L44" s="322"/>
      <c r="M44" s="323"/>
      <c r="N44" s="323"/>
      <c r="O44" s="323"/>
      <c r="P44" s="324"/>
      <c r="Q44" s="329"/>
      <c r="R44" s="322"/>
      <c r="S44" s="323"/>
      <c r="T44" s="323"/>
      <c r="U44" s="323"/>
      <c r="V44" s="324"/>
      <c r="W44" s="329"/>
      <c r="X44" s="322"/>
      <c r="Y44" s="323"/>
      <c r="Z44" s="323"/>
      <c r="AA44" s="323"/>
      <c r="AB44" s="367"/>
      <c r="AC44" s="361"/>
      <c r="AD44" s="322"/>
      <c r="AE44" s="323"/>
      <c r="AF44" s="323"/>
      <c r="AG44" s="323"/>
      <c r="AH44" s="324"/>
      <c r="AI44" s="329"/>
      <c r="AJ44" s="322"/>
      <c r="AK44" s="323"/>
      <c r="AL44" s="323"/>
      <c r="AM44" s="323"/>
      <c r="AN44" s="324"/>
      <c r="AO44" s="329"/>
      <c r="AP44" s="322"/>
      <c r="AQ44" s="323"/>
      <c r="AR44" s="323"/>
      <c r="AS44" s="323"/>
      <c r="AT44" s="324"/>
    </row>
    <row r="45" spans="1:46" ht="22.05" customHeight="1">
      <c r="A45" s="374" t="s">
        <v>265</v>
      </c>
      <c r="B45" s="374"/>
      <c r="C45" s="375" t="str">
        <f>VLOOKUP($AW$1,'6 Factors Definition'!$B$3:$O$84,5,0)</f>
        <v>นำตนเอง และ จัดการกับงานเพื่อบรรลุเป้าหมายที่กำหนดไว้ หรือ ดำเนินงานที่ได้รับมอบหมายให้แล้วเสร็จ</v>
      </c>
      <c r="D45" s="376"/>
      <c r="E45" s="376"/>
      <c r="F45" s="377"/>
      <c r="G45" s="375" t="str">
        <f>VLOOKUP($AW$1,'6 Factors Definition'!$B$3:$O$84,12,0)</f>
        <v xml:space="preserve"> - วางแผน, จัดลำดับความสำคัญ, จัดการกับทรัพยากรที่มีอยู่ และสร้างกระบวนการทำงานที่ดีที่สุดเพื่อบรรลุเป้าหมายร่วม
 - นำตนเอง และผู้อื่นมุ่งสู่การบรรลุเป้าหมายร่วม</v>
      </c>
      <c r="H45" s="376"/>
      <c r="I45" s="376"/>
      <c r="J45" s="377"/>
      <c r="K45" s="327">
        <v>5</v>
      </c>
      <c r="L45" s="316"/>
      <c r="M45" s="317"/>
      <c r="N45" s="317"/>
      <c r="O45" s="317"/>
      <c r="P45" s="318"/>
      <c r="Q45" s="327">
        <v>5</v>
      </c>
      <c r="R45" s="316"/>
      <c r="S45" s="317"/>
      <c r="T45" s="317"/>
      <c r="U45" s="317"/>
      <c r="V45" s="318"/>
      <c r="W45" s="327">
        <v>4</v>
      </c>
      <c r="X45" s="316"/>
      <c r="Y45" s="317"/>
      <c r="Z45" s="317"/>
      <c r="AA45" s="317"/>
      <c r="AB45" s="365"/>
      <c r="AC45" s="359">
        <v>5</v>
      </c>
      <c r="AD45" s="316"/>
      <c r="AE45" s="317"/>
      <c r="AF45" s="317"/>
      <c r="AG45" s="317"/>
      <c r="AH45" s="318"/>
      <c r="AI45" s="327">
        <v>5</v>
      </c>
      <c r="AJ45" s="316"/>
      <c r="AK45" s="317"/>
      <c r="AL45" s="317"/>
      <c r="AM45" s="317"/>
      <c r="AN45" s="318"/>
      <c r="AO45" s="327">
        <v>5</v>
      </c>
      <c r="AP45" s="316"/>
      <c r="AQ45" s="317"/>
      <c r="AR45" s="317"/>
      <c r="AS45" s="317"/>
      <c r="AT45" s="318"/>
    </row>
    <row r="46" spans="1:46" ht="22.05" customHeight="1">
      <c r="A46" s="374"/>
      <c r="B46" s="374"/>
      <c r="C46" s="378"/>
      <c r="D46" s="379"/>
      <c r="E46" s="379"/>
      <c r="F46" s="380"/>
      <c r="G46" s="378"/>
      <c r="H46" s="379"/>
      <c r="I46" s="379"/>
      <c r="J46" s="380"/>
      <c r="K46" s="328"/>
      <c r="L46" s="319"/>
      <c r="M46" s="320"/>
      <c r="N46" s="320"/>
      <c r="O46" s="320"/>
      <c r="P46" s="321"/>
      <c r="Q46" s="328"/>
      <c r="R46" s="319"/>
      <c r="S46" s="320"/>
      <c r="T46" s="320"/>
      <c r="U46" s="320"/>
      <c r="V46" s="321"/>
      <c r="W46" s="328"/>
      <c r="X46" s="319"/>
      <c r="Y46" s="320"/>
      <c r="Z46" s="320"/>
      <c r="AA46" s="320"/>
      <c r="AB46" s="366"/>
      <c r="AC46" s="360"/>
      <c r="AD46" s="319"/>
      <c r="AE46" s="320"/>
      <c r="AF46" s="320"/>
      <c r="AG46" s="320"/>
      <c r="AH46" s="321"/>
      <c r="AI46" s="328"/>
      <c r="AJ46" s="319"/>
      <c r="AK46" s="320"/>
      <c r="AL46" s="320"/>
      <c r="AM46" s="320"/>
      <c r="AN46" s="321"/>
      <c r="AO46" s="328"/>
      <c r="AP46" s="319"/>
      <c r="AQ46" s="320"/>
      <c r="AR46" s="320"/>
      <c r="AS46" s="320"/>
      <c r="AT46" s="321"/>
    </row>
    <row r="47" spans="1:46" ht="22.05" customHeight="1">
      <c r="A47" s="374"/>
      <c r="B47" s="374"/>
      <c r="C47" s="378"/>
      <c r="D47" s="379"/>
      <c r="E47" s="379"/>
      <c r="F47" s="380"/>
      <c r="G47" s="378"/>
      <c r="H47" s="379"/>
      <c r="I47" s="379"/>
      <c r="J47" s="380"/>
      <c r="K47" s="328"/>
      <c r="L47" s="319"/>
      <c r="M47" s="320"/>
      <c r="N47" s="320"/>
      <c r="O47" s="320"/>
      <c r="P47" s="321"/>
      <c r="Q47" s="328"/>
      <c r="R47" s="319"/>
      <c r="S47" s="320"/>
      <c r="T47" s="320"/>
      <c r="U47" s="320"/>
      <c r="V47" s="321"/>
      <c r="W47" s="328"/>
      <c r="X47" s="319"/>
      <c r="Y47" s="320"/>
      <c r="Z47" s="320"/>
      <c r="AA47" s="320"/>
      <c r="AB47" s="366"/>
      <c r="AC47" s="360"/>
      <c r="AD47" s="319"/>
      <c r="AE47" s="320"/>
      <c r="AF47" s="320"/>
      <c r="AG47" s="320"/>
      <c r="AH47" s="321"/>
      <c r="AI47" s="328"/>
      <c r="AJ47" s="319"/>
      <c r="AK47" s="320"/>
      <c r="AL47" s="320"/>
      <c r="AM47" s="320"/>
      <c r="AN47" s="321"/>
      <c r="AO47" s="328"/>
      <c r="AP47" s="319"/>
      <c r="AQ47" s="320"/>
      <c r="AR47" s="320"/>
      <c r="AS47" s="320"/>
      <c r="AT47" s="321"/>
    </row>
    <row r="48" spans="1:46" ht="22.05" customHeight="1">
      <c r="A48" s="374"/>
      <c r="B48" s="374"/>
      <c r="C48" s="378"/>
      <c r="D48" s="379"/>
      <c r="E48" s="379"/>
      <c r="F48" s="380"/>
      <c r="G48" s="378"/>
      <c r="H48" s="379"/>
      <c r="I48" s="379"/>
      <c r="J48" s="380"/>
      <c r="K48" s="328"/>
      <c r="L48" s="319"/>
      <c r="M48" s="320"/>
      <c r="N48" s="320"/>
      <c r="O48" s="320"/>
      <c r="P48" s="321"/>
      <c r="Q48" s="328"/>
      <c r="R48" s="319"/>
      <c r="S48" s="320"/>
      <c r="T48" s="320"/>
      <c r="U48" s="320"/>
      <c r="V48" s="321"/>
      <c r="W48" s="328"/>
      <c r="X48" s="319"/>
      <c r="Y48" s="320"/>
      <c r="Z48" s="320"/>
      <c r="AA48" s="320"/>
      <c r="AB48" s="366"/>
      <c r="AC48" s="360"/>
      <c r="AD48" s="319"/>
      <c r="AE48" s="320"/>
      <c r="AF48" s="320"/>
      <c r="AG48" s="320"/>
      <c r="AH48" s="321"/>
      <c r="AI48" s="328"/>
      <c r="AJ48" s="319"/>
      <c r="AK48" s="320"/>
      <c r="AL48" s="320"/>
      <c r="AM48" s="320"/>
      <c r="AN48" s="321"/>
      <c r="AO48" s="328"/>
      <c r="AP48" s="319"/>
      <c r="AQ48" s="320"/>
      <c r="AR48" s="320"/>
      <c r="AS48" s="320"/>
      <c r="AT48" s="321"/>
    </row>
    <row r="49" spans="1:46" ht="22.05" customHeight="1">
      <c r="A49" s="374"/>
      <c r="B49" s="374"/>
      <c r="C49" s="378"/>
      <c r="D49" s="379"/>
      <c r="E49" s="379"/>
      <c r="F49" s="380"/>
      <c r="G49" s="378"/>
      <c r="H49" s="379"/>
      <c r="I49" s="379"/>
      <c r="J49" s="380"/>
      <c r="K49" s="328"/>
      <c r="L49" s="319"/>
      <c r="M49" s="320"/>
      <c r="N49" s="320"/>
      <c r="O49" s="320"/>
      <c r="P49" s="321"/>
      <c r="Q49" s="328"/>
      <c r="R49" s="319"/>
      <c r="S49" s="320"/>
      <c r="T49" s="320"/>
      <c r="U49" s="320"/>
      <c r="V49" s="321"/>
      <c r="W49" s="328"/>
      <c r="X49" s="319"/>
      <c r="Y49" s="320"/>
      <c r="Z49" s="320"/>
      <c r="AA49" s="320"/>
      <c r="AB49" s="366"/>
      <c r="AC49" s="360"/>
      <c r="AD49" s="319"/>
      <c r="AE49" s="320"/>
      <c r="AF49" s="320"/>
      <c r="AG49" s="320"/>
      <c r="AH49" s="321"/>
      <c r="AI49" s="328"/>
      <c r="AJ49" s="319"/>
      <c r="AK49" s="320"/>
      <c r="AL49" s="320"/>
      <c r="AM49" s="320"/>
      <c r="AN49" s="321"/>
      <c r="AO49" s="328"/>
      <c r="AP49" s="319"/>
      <c r="AQ49" s="320"/>
      <c r="AR49" s="320"/>
      <c r="AS49" s="320"/>
      <c r="AT49" s="321"/>
    </row>
    <row r="50" spans="1:46" ht="22.05" customHeight="1">
      <c r="A50" s="374"/>
      <c r="B50" s="374"/>
      <c r="C50" s="381"/>
      <c r="D50" s="382"/>
      <c r="E50" s="382"/>
      <c r="F50" s="383"/>
      <c r="G50" s="381"/>
      <c r="H50" s="382"/>
      <c r="I50" s="382"/>
      <c r="J50" s="383"/>
      <c r="K50" s="329"/>
      <c r="L50" s="322"/>
      <c r="M50" s="323"/>
      <c r="N50" s="323"/>
      <c r="O50" s="323"/>
      <c r="P50" s="324"/>
      <c r="Q50" s="329"/>
      <c r="R50" s="322"/>
      <c r="S50" s="323"/>
      <c r="T50" s="323"/>
      <c r="U50" s="323"/>
      <c r="V50" s="324"/>
      <c r="W50" s="329"/>
      <c r="X50" s="322"/>
      <c r="Y50" s="323"/>
      <c r="Z50" s="323"/>
      <c r="AA50" s="323"/>
      <c r="AB50" s="367"/>
      <c r="AC50" s="361"/>
      <c r="AD50" s="322"/>
      <c r="AE50" s="323"/>
      <c r="AF50" s="323"/>
      <c r="AG50" s="323"/>
      <c r="AH50" s="324"/>
      <c r="AI50" s="329"/>
      <c r="AJ50" s="322"/>
      <c r="AK50" s="323"/>
      <c r="AL50" s="323"/>
      <c r="AM50" s="323"/>
      <c r="AN50" s="324"/>
      <c r="AO50" s="329"/>
      <c r="AP50" s="322"/>
      <c r="AQ50" s="323"/>
      <c r="AR50" s="323"/>
      <c r="AS50" s="323"/>
      <c r="AT50" s="324"/>
    </row>
    <row r="51" spans="1:46" ht="22.05" customHeight="1">
      <c r="A51" s="374" t="s">
        <v>266</v>
      </c>
      <c r="B51" s="374"/>
      <c r="C51" s="375" t="str">
        <f>VLOOKUP($AW$1,'6 Factors Definition'!$B$3:$O$84,6,0)</f>
        <v>ปรับปรุงงานที่ตนเองเป็นผู้ได้รับมอบหมายโดยตรง  โดยการชี้บ่งวิธีการปรับปรุง หรือ พัฒนาแนวทางใหม่ๆ เพื่อมุ่งไปข้างหน้า</v>
      </c>
      <c r="D51" s="376"/>
      <c r="E51" s="376"/>
      <c r="F51" s="377"/>
      <c r="G51" s="375" t="str">
        <f>VLOOKUP($AW$1,'6 Factors Definition'!$B$3:$O$84,13,0)</f>
        <v xml:space="preserve"> - สร้างแนวคิด หรือ ส่งเสริมผู้อื่นให้ดำเนินการเรื่องการปรับปรุงงาน
 - นำแนวคิดไปลงมือปฏิบัติอย่างเป็นรูปธรรม
</v>
      </c>
      <c r="H51" s="376"/>
      <c r="I51" s="376"/>
      <c r="J51" s="377"/>
      <c r="K51" s="327">
        <v>5</v>
      </c>
      <c r="L51" s="316"/>
      <c r="M51" s="317"/>
      <c r="N51" s="317"/>
      <c r="O51" s="317"/>
      <c r="P51" s="318"/>
      <c r="Q51" s="327">
        <v>5</v>
      </c>
      <c r="R51" s="316"/>
      <c r="S51" s="317"/>
      <c r="T51" s="317"/>
      <c r="U51" s="317"/>
      <c r="V51" s="318"/>
      <c r="W51" s="327">
        <v>4</v>
      </c>
      <c r="X51" s="316"/>
      <c r="Y51" s="317"/>
      <c r="Z51" s="317"/>
      <c r="AA51" s="317"/>
      <c r="AB51" s="365"/>
      <c r="AC51" s="359">
        <v>5</v>
      </c>
      <c r="AD51" s="316"/>
      <c r="AE51" s="317"/>
      <c r="AF51" s="317"/>
      <c r="AG51" s="317"/>
      <c r="AH51" s="318"/>
      <c r="AI51" s="327">
        <v>5</v>
      </c>
      <c r="AJ51" s="316"/>
      <c r="AK51" s="317"/>
      <c r="AL51" s="317"/>
      <c r="AM51" s="317"/>
      <c r="AN51" s="318"/>
      <c r="AO51" s="327">
        <v>5</v>
      </c>
      <c r="AP51" s="316"/>
      <c r="AQ51" s="317"/>
      <c r="AR51" s="317"/>
      <c r="AS51" s="317"/>
      <c r="AT51" s="318"/>
    </row>
    <row r="52" spans="1:46" ht="22.05" customHeight="1">
      <c r="A52" s="374"/>
      <c r="B52" s="374"/>
      <c r="C52" s="378"/>
      <c r="D52" s="379"/>
      <c r="E52" s="379"/>
      <c r="F52" s="380"/>
      <c r="G52" s="378"/>
      <c r="H52" s="379"/>
      <c r="I52" s="379"/>
      <c r="J52" s="380"/>
      <c r="K52" s="328"/>
      <c r="L52" s="319"/>
      <c r="M52" s="320"/>
      <c r="N52" s="320"/>
      <c r="O52" s="320"/>
      <c r="P52" s="321"/>
      <c r="Q52" s="328"/>
      <c r="R52" s="319"/>
      <c r="S52" s="320"/>
      <c r="T52" s="320"/>
      <c r="U52" s="320"/>
      <c r="V52" s="321"/>
      <c r="W52" s="328"/>
      <c r="X52" s="319"/>
      <c r="Y52" s="320"/>
      <c r="Z52" s="320"/>
      <c r="AA52" s="320"/>
      <c r="AB52" s="366"/>
      <c r="AC52" s="360"/>
      <c r="AD52" s="319"/>
      <c r="AE52" s="320"/>
      <c r="AF52" s="320"/>
      <c r="AG52" s="320"/>
      <c r="AH52" s="321"/>
      <c r="AI52" s="328"/>
      <c r="AJ52" s="319"/>
      <c r="AK52" s="320"/>
      <c r="AL52" s="320"/>
      <c r="AM52" s="320"/>
      <c r="AN52" s="321"/>
      <c r="AO52" s="328"/>
      <c r="AP52" s="319"/>
      <c r="AQ52" s="320"/>
      <c r="AR52" s="320"/>
      <c r="AS52" s="320"/>
      <c r="AT52" s="321"/>
    </row>
    <row r="53" spans="1:46" ht="22.05" customHeight="1">
      <c r="A53" s="374"/>
      <c r="B53" s="374"/>
      <c r="C53" s="378"/>
      <c r="D53" s="379"/>
      <c r="E53" s="379"/>
      <c r="F53" s="380"/>
      <c r="G53" s="378"/>
      <c r="H53" s="379"/>
      <c r="I53" s="379"/>
      <c r="J53" s="380"/>
      <c r="K53" s="328"/>
      <c r="L53" s="319"/>
      <c r="M53" s="320"/>
      <c r="N53" s="320"/>
      <c r="O53" s="320"/>
      <c r="P53" s="321"/>
      <c r="Q53" s="328"/>
      <c r="R53" s="319"/>
      <c r="S53" s="320"/>
      <c r="T53" s="320"/>
      <c r="U53" s="320"/>
      <c r="V53" s="321"/>
      <c r="W53" s="328"/>
      <c r="X53" s="319"/>
      <c r="Y53" s="320"/>
      <c r="Z53" s="320"/>
      <c r="AA53" s="320"/>
      <c r="AB53" s="366"/>
      <c r="AC53" s="360"/>
      <c r="AD53" s="319"/>
      <c r="AE53" s="320"/>
      <c r="AF53" s="320"/>
      <c r="AG53" s="320"/>
      <c r="AH53" s="321"/>
      <c r="AI53" s="328"/>
      <c r="AJ53" s="319"/>
      <c r="AK53" s="320"/>
      <c r="AL53" s="320"/>
      <c r="AM53" s="320"/>
      <c r="AN53" s="321"/>
      <c r="AO53" s="328"/>
      <c r="AP53" s="319"/>
      <c r="AQ53" s="320"/>
      <c r="AR53" s="320"/>
      <c r="AS53" s="320"/>
      <c r="AT53" s="321"/>
    </row>
    <row r="54" spans="1:46" ht="22.05" customHeight="1">
      <c r="A54" s="374"/>
      <c r="B54" s="374"/>
      <c r="C54" s="378"/>
      <c r="D54" s="379"/>
      <c r="E54" s="379"/>
      <c r="F54" s="380"/>
      <c r="G54" s="378"/>
      <c r="H54" s="379"/>
      <c r="I54" s="379"/>
      <c r="J54" s="380"/>
      <c r="K54" s="328"/>
      <c r="L54" s="319"/>
      <c r="M54" s="320"/>
      <c r="N54" s="320"/>
      <c r="O54" s="320"/>
      <c r="P54" s="321"/>
      <c r="Q54" s="328"/>
      <c r="R54" s="319"/>
      <c r="S54" s="320"/>
      <c r="T54" s="320"/>
      <c r="U54" s="320"/>
      <c r="V54" s="321"/>
      <c r="W54" s="328"/>
      <c r="X54" s="319"/>
      <c r="Y54" s="320"/>
      <c r="Z54" s="320"/>
      <c r="AA54" s="320"/>
      <c r="AB54" s="366"/>
      <c r="AC54" s="360"/>
      <c r="AD54" s="319"/>
      <c r="AE54" s="320"/>
      <c r="AF54" s="320"/>
      <c r="AG54" s="320"/>
      <c r="AH54" s="321"/>
      <c r="AI54" s="328"/>
      <c r="AJ54" s="319"/>
      <c r="AK54" s="320"/>
      <c r="AL54" s="320"/>
      <c r="AM54" s="320"/>
      <c r="AN54" s="321"/>
      <c r="AO54" s="328"/>
      <c r="AP54" s="319"/>
      <c r="AQ54" s="320"/>
      <c r="AR54" s="320"/>
      <c r="AS54" s="320"/>
      <c r="AT54" s="321"/>
    </row>
    <row r="55" spans="1:46" ht="22.05" customHeight="1">
      <c r="A55" s="374"/>
      <c r="B55" s="374"/>
      <c r="C55" s="378"/>
      <c r="D55" s="379"/>
      <c r="E55" s="379"/>
      <c r="F55" s="380"/>
      <c r="G55" s="378"/>
      <c r="H55" s="379"/>
      <c r="I55" s="379"/>
      <c r="J55" s="380"/>
      <c r="K55" s="328"/>
      <c r="L55" s="319"/>
      <c r="M55" s="320"/>
      <c r="N55" s="320"/>
      <c r="O55" s="320"/>
      <c r="P55" s="321"/>
      <c r="Q55" s="328"/>
      <c r="R55" s="319"/>
      <c r="S55" s="320"/>
      <c r="T55" s="320"/>
      <c r="U55" s="320"/>
      <c r="V55" s="321"/>
      <c r="W55" s="328"/>
      <c r="X55" s="319"/>
      <c r="Y55" s="320"/>
      <c r="Z55" s="320"/>
      <c r="AA55" s="320"/>
      <c r="AB55" s="366"/>
      <c r="AC55" s="360"/>
      <c r="AD55" s="319"/>
      <c r="AE55" s="320"/>
      <c r="AF55" s="320"/>
      <c r="AG55" s="320"/>
      <c r="AH55" s="321"/>
      <c r="AI55" s="328"/>
      <c r="AJ55" s="319"/>
      <c r="AK55" s="320"/>
      <c r="AL55" s="320"/>
      <c r="AM55" s="320"/>
      <c r="AN55" s="321"/>
      <c r="AO55" s="328"/>
      <c r="AP55" s="319"/>
      <c r="AQ55" s="320"/>
      <c r="AR55" s="320"/>
      <c r="AS55" s="320"/>
      <c r="AT55" s="321"/>
    </row>
    <row r="56" spans="1:46" ht="22.05" customHeight="1">
      <c r="A56" s="374"/>
      <c r="B56" s="374"/>
      <c r="C56" s="381"/>
      <c r="D56" s="382"/>
      <c r="E56" s="382"/>
      <c r="F56" s="383"/>
      <c r="G56" s="381"/>
      <c r="H56" s="382"/>
      <c r="I56" s="382"/>
      <c r="J56" s="383"/>
      <c r="K56" s="329"/>
      <c r="L56" s="322"/>
      <c r="M56" s="323"/>
      <c r="N56" s="323"/>
      <c r="O56" s="323"/>
      <c r="P56" s="324"/>
      <c r="Q56" s="329"/>
      <c r="R56" s="322"/>
      <c r="S56" s="323"/>
      <c r="T56" s="323"/>
      <c r="U56" s="323"/>
      <c r="V56" s="324"/>
      <c r="W56" s="329"/>
      <c r="X56" s="322"/>
      <c r="Y56" s="323"/>
      <c r="Z56" s="323"/>
      <c r="AA56" s="323"/>
      <c r="AB56" s="367"/>
      <c r="AC56" s="361"/>
      <c r="AD56" s="322"/>
      <c r="AE56" s="323"/>
      <c r="AF56" s="323"/>
      <c r="AG56" s="323"/>
      <c r="AH56" s="324"/>
      <c r="AI56" s="329"/>
      <c r="AJ56" s="322"/>
      <c r="AK56" s="323"/>
      <c r="AL56" s="323"/>
      <c r="AM56" s="323"/>
      <c r="AN56" s="324"/>
      <c r="AO56" s="329"/>
      <c r="AP56" s="322"/>
      <c r="AQ56" s="323"/>
      <c r="AR56" s="323"/>
      <c r="AS56" s="323"/>
      <c r="AT56" s="324"/>
    </row>
    <row r="57" spans="1:46" ht="22.05" customHeight="1">
      <c r="A57" s="374" t="s">
        <v>267</v>
      </c>
      <c r="B57" s="374"/>
      <c r="C57" s="375" t="str">
        <f>VLOOKUP($AW$1,'6 Factors Definition'!$B$3:$O$84,7,0)</f>
        <v>ลดความเสี่ยงในกระบวนการปฏิบัติงาน  โดยปรับเปลี่ยนให้สอดคล้องกับกฎระเบียบ แนวปฏิบัติ และมาตรฐานในการปฏิบัติงานของบริษัทฯ รวมไปถึงการกำหนดมาตรการป้องกัน</v>
      </c>
      <c r="D57" s="376"/>
      <c r="E57" s="376"/>
      <c r="F57" s="377"/>
      <c r="G57" s="375" t="str">
        <f>VLOOKUP($AW$1,'6 Factors Definition'!$B$3:$O$84,14,0)</f>
        <v xml:space="preserve"> - ปฏิบัติตนสอดคล้องกับกฎระเบียบ และมาตรฐานการปฏิบัติงานเพื่อให้เกิดคุณภาพ
 - ระบุความเสี่ยงในงาน และกำหนดมาตรการป้องกัน</v>
      </c>
      <c r="H57" s="376"/>
      <c r="I57" s="376"/>
      <c r="J57" s="377"/>
      <c r="K57" s="327">
        <v>5</v>
      </c>
      <c r="L57" s="316"/>
      <c r="M57" s="317"/>
      <c r="N57" s="317"/>
      <c r="O57" s="317"/>
      <c r="P57" s="318"/>
      <c r="Q57" s="327">
        <v>5</v>
      </c>
      <c r="R57" s="316"/>
      <c r="S57" s="317"/>
      <c r="T57" s="317"/>
      <c r="U57" s="317"/>
      <c r="V57" s="318"/>
      <c r="W57" s="327">
        <v>4</v>
      </c>
      <c r="X57" s="316"/>
      <c r="Y57" s="317"/>
      <c r="Z57" s="317"/>
      <c r="AA57" s="317"/>
      <c r="AB57" s="365"/>
      <c r="AC57" s="359">
        <v>5</v>
      </c>
      <c r="AD57" s="316"/>
      <c r="AE57" s="317"/>
      <c r="AF57" s="317"/>
      <c r="AG57" s="317"/>
      <c r="AH57" s="318"/>
      <c r="AI57" s="327">
        <v>5</v>
      </c>
      <c r="AJ57" s="316"/>
      <c r="AK57" s="317"/>
      <c r="AL57" s="317"/>
      <c r="AM57" s="317"/>
      <c r="AN57" s="318"/>
      <c r="AO57" s="327">
        <v>5</v>
      </c>
      <c r="AP57" s="316"/>
      <c r="AQ57" s="317"/>
      <c r="AR57" s="317"/>
      <c r="AS57" s="317"/>
      <c r="AT57" s="318"/>
    </row>
    <row r="58" spans="1:46" ht="22.05" customHeight="1">
      <c r="A58" s="374"/>
      <c r="B58" s="374"/>
      <c r="C58" s="378"/>
      <c r="D58" s="379"/>
      <c r="E58" s="379"/>
      <c r="F58" s="380"/>
      <c r="G58" s="378"/>
      <c r="H58" s="379"/>
      <c r="I58" s="379"/>
      <c r="J58" s="380"/>
      <c r="K58" s="328"/>
      <c r="L58" s="319"/>
      <c r="M58" s="320"/>
      <c r="N58" s="320"/>
      <c r="O58" s="320"/>
      <c r="P58" s="321"/>
      <c r="Q58" s="328"/>
      <c r="R58" s="319"/>
      <c r="S58" s="320"/>
      <c r="T58" s="320"/>
      <c r="U58" s="320"/>
      <c r="V58" s="321"/>
      <c r="W58" s="328"/>
      <c r="X58" s="319"/>
      <c r="Y58" s="320"/>
      <c r="Z58" s="320"/>
      <c r="AA58" s="320"/>
      <c r="AB58" s="366"/>
      <c r="AC58" s="360"/>
      <c r="AD58" s="319"/>
      <c r="AE58" s="320"/>
      <c r="AF58" s="320"/>
      <c r="AG58" s="320"/>
      <c r="AH58" s="321"/>
      <c r="AI58" s="328"/>
      <c r="AJ58" s="319"/>
      <c r="AK58" s="320"/>
      <c r="AL58" s="320"/>
      <c r="AM58" s="320"/>
      <c r="AN58" s="321"/>
      <c r="AO58" s="328"/>
      <c r="AP58" s="319"/>
      <c r="AQ58" s="320"/>
      <c r="AR58" s="320"/>
      <c r="AS58" s="320"/>
      <c r="AT58" s="321"/>
    </row>
    <row r="59" spans="1:46" ht="22.05" customHeight="1">
      <c r="A59" s="374"/>
      <c r="B59" s="374"/>
      <c r="C59" s="378"/>
      <c r="D59" s="379"/>
      <c r="E59" s="379"/>
      <c r="F59" s="380"/>
      <c r="G59" s="378"/>
      <c r="H59" s="379"/>
      <c r="I59" s="379"/>
      <c r="J59" s="380"/>
      <c r="K59" s="328"/>
      <c r="L59" s="319"/>
      <c r="M59" s="320"/>
      <c r="N59" s="320"/>
      <c r="O59" s="320"/>
      <c r="P59" s="321"/>
      <c r="Q59" s="328"/>
      <c r="R59" s="319"/>
      <c r="S59" s="320"/>
      <c r="T59" s="320"/>
      <c r="U59" s="320"/>
      <c r="V59" s="321"/>
      <c r="W59" s="328"/>
      <c r="X59" s="319"/>
      <c r="Y59" s="320"/>
      <c r="Z59" s="320"/>
      <c r="AA59" s="320"/>
      <c r="AB59" s="366"/>
      <c r="AC59" s="360"/>
      <c r="AD59" s="319"/>
      <c r="AE59" s="320"/>
      <c r="AF59" s="320"/>
      <c r="AG59" s="320"/>
      <c r="AH59" s="321"/>
      <c r="AI59" s="328"/>
      <c r="AJ59" s="319"/>
      <c r="AK59" s="320"/>
      <c r="AL59" s="320"/>
      <c r="AM59" s="320"/>
      <c r="AN59" s="321"/>
      <c r="AO59" s="328"/>
      <c r="AP59" s="319"/>
      <c r="AQ59" s="320"/>
      <c r="AR59" s="320"/>
      <c r="AS59" s="320"/>
      <c r="AT59" s="321"/>
    </row>
    <row r="60" spans="1:46" ht="22.05" customHeight="1">
      <c r="A60" s="374"/>
      <c r="B60" s="374"/>
      <c r="C60" s="378"/>
      <c r="D60" s="379"/>
      <c r="E60" s="379"/>
      <c r="F60" s="380"/>
      <c r="G60" s="378"/>
      <c r="H60" s="379"/>
      <c r="I60" s="379"/>
      <c r="J60" s="380"/>
      <c r="K60" s="328"/>
      <c r="L60" s="319"/>
      <c r="M60" s="320"/>
      <c r="N60" s="320"/>
      <c r="O60" s="320"/>
      <c r="P60" s="321"/>
      <c r="Q60" s="328"/>
      <c r="R60" s="319"/>
      <c r="S60" s="320"/>
      <c r="T60" s="320"/>
      <c r="U60" s="320"/>
      <c r="V60" s="321"/>
      <c r="W60" s="328"/>
      <c r="X60" s="319"/>
      <c r="Y60" s="320"/>
      <c r="Z60" s="320"/>
      <c r="AA60" s="320"/>
      <c r="AB60" s="366"/>
      <c r="AC60" s="360"/>
      <c r="AD60" s="319"/>
      <c r="AE60" s="320"/>
      <c r="AF60" s="320"/>
      <c r="AG60" s="320"/>
      <c r="AH60" s="321"/>
      <c r="AI60" s="328"/>
      <c r="AJ60" s="319"/>
      <c r="AK60" s="320"/>
      <c r="AL60" s="320"/>
      <c r="AM60" s="320"/>
      <c r="AN60" s="321"/>
      <c r="AO60" s="328"/>
      <c r="AP60" s="319"/>
      <c r="AQ60" s="320"/>
      <c r="AR60" s="320"/>
      <c r="AS60" s="320"/>
      <c r="AT60" s="321"/>
    </row>
    <row r="61" spans="1:46" ht="22.05" customHeight="1">
      <c r="A61" s="374"/>
      <c r="B61" s="374"/>
      <c r="C61" s="378"/>
      <c r="D61" s="379"/>
      <c r="E61" s="379"/>
      <c r="F61" s="380"/>
      <c r="G61" s="378"/>
      <c r="H61" s="379"/>
      <c r="I61" s="379"/>
      <c r="J61" s="380"/>
      <c r="K61" s="328"/>
      <c r="L61" s="319"/>
      <c r="M61" s="320"/>
      <c r="N61" s="320"/>
      <c r="O61" s="320"/>
      <c r="P61" s="321"/>
      <c r="Q61" s="328"/>
      <c r="R61" s="319"/>
      <c r="S61" s="320"/>
      <c r="T61" s="320"/>
      <c r="U61" s="320"/>
      <c r="V61" s="321"/>
      <c r="W61" s="328"/>
      <c r="X61" s="319"/>
      <c r="Y61" s="320"/>
      <c r="Z61" s="320"/>
      <c r="AA61" s="320"/>
      <c r="AB61" s="366"/>
      <c r="AC61" s="360"/>
      <c r="AD61" s="319"/>
      <c r="AE61" s="320"/>
      <c r="AF61" s="320"/>
      <c r="AG61" s="320"/>
      <c r="AH61" s="321"/>
      <c r="AI61" s="328"/>
      <c r="AJ61" s="319"/>
      <c r="AK61" s="320"/>
      <c r="AL61" s="320"/>
      <c r="AM61" s="320"/>
      <c r="AN61" s="321"/>
      <c r="AO61" s="328"/>
      <c r="AP61" s="319"/>
      <c r="AQ61" s="320"/>
      <c r="AR61" s="320"/>
      <c r="AS61" s="320"/>
      <c r="AT61" s="321"/>
    </row>
    <row r="62" spans="1:46" ht="22.05" customHeight="1">
      <c r="A62" s="374"/>
      <c r="B62" s="374"/>
      <c r="C62" s="381"/>
      <c r="D62" s="382"/>
      <c r="E62" s="382"/>
      <c r="F62" s="383"/>
      <c r="G62" s="381"/>
      <c r="H62" s="382"/>
      <c r="I62" s="382"/>
      <c r="J62" s="383"/>
      <c r="K62" s="329"/>
      <c r="L62" s="322"/>
      <c r="M62" s="323"/>
      <c r="N62" s="323"/>
      <c r="O62" s="323"/>
      <c r="P62" s="324"/>
      <c r="Q62" s="329"/>
      <c r="R62" s="322"/>
      <c r="S62" s="323"/>
      <c r="T62" s="323"/>
      <c r="U62" s="323"/>
      <c r="V62" s="324"/>
      <c r="W62" s="329"/>
      <c r="X62" s="322"/>
      <c r="Y62" s="323"/>
      <c r="Z62" s="323"/>
      <c r="AA62" s="323"/>
      <c r="AB62" s="367"/>
      <c r="AC62" s="361"/>
      <c r="AD62" s="322"/>
      <c r="AE62" s="323"/>
      <c r="AF62" s="323"/>
      <c r="AG62" s="323"/>
      <c r="AH62" s="324"/>
      <c r="AI62" s="329"/>
      <c r="AJ62" s="322"/>
      <c r="AK62" s="323"/>
      <c r="AL62" s="323"/>
      <c r="AM62" s="323"/>
      <c r="AN62" s="324"/>
      <c r="AO62" s="329"/>
      <c r="AP62" s="322"/>
      <c r="AQ62" s="323"/>
      <c r="AR62" s="323"/>
      <c r="AS62" s="323"/>
      <c r="AT62" s="324"/>
    </row>
    <row r="63" spans="1:46" s="16" customFormat="1" ht="25.5" customHeight="1">
      <c r="J63" s="17" t="s">
        <v>217</v>
      </c>
      <c r="K63" s="203">
        <f>AVERAGE(K27:K62)</f>
        <v>5</v>
      </c>
      <c r="L63" s="18"/>
      <c r="M63" s="18"/>
      <c r="N63" s="18"/>
      <c r="O63" s="18"/>
      <c r="P63" s="18"/>
      <c r="Q63" s="203">
        <f>AVERAGE(Q27:Q62)</f>
        <v>5</v>
      </c>
      <c r="R63" s="18"/>
      <c r="S63" s="18"/>
      <c r="T63" s="18"/>
      <c r="U63" s="18"/>
      <c r="V63" s="18"/>
      <c r="W63" s="205">
        <f>AVERAGE(W27:W62)</f>
        <v>3.6666666666666665</v>
      </c>
      <c r="X63" s="157"/>
      <c r="Y63" s="18"/>
      <c r="Z63" s="18"/>
      <c r="AA63" s="18"/>
      <c r="AB63" s="158"/>
      <c r="AC63" s="204">
        <f>AVERAGE(AC27:AC62)</f>
        <v>4.833333333333333</v>
      </c>
      <c r="AD63" s="18"/>
      <c r="AE63" s="18"/>
      <c r="AF63" s="18"/>
      <c r="AG63" s="18"/>
      <c r="AH63" s="18"/>
      <c r="AI63" s="203">
        <f>AVERAGE(AI27:AI62)</f>
        <v>4.833333333333333</v>
      </c>
      <c r="AJ63" s="18"/>
      <c r="AK63" s="18"/>
      <c r="AL63" s="18"/>
      <c r="AM63" s="18"/>
      <c r="AN63" s="18"/>
      <c r="AO63" s="206">
        <f>AVERAGE(AO27:AO62)</f>
        <v>4.666666666666667</v>
      </c>
      <c r="AP63" s="18"/>
      <c r="AQ63" s="18"/>
      <c r="AR63" s="18"/>
      <c r="AS63" s="18"/>
      <c r="AT63" s="18"/>
    </row>
    <row r="64" spans="1:46" s="16" customFormat="1" ht="58.05" customHeight="1"/>
    <row r="65" spans="1:49" s="16" customFormat="1" ht="30" customHeight="1">
      <c r="A65" s="477" t="s">
        <v>270</v>
      </c>
      <c r="B65" s="478"/>
      <c r="C65" s="478"/>
      <c r="D65" s="478"/>
      <c r="E65" s="478"/>
      <c r="F65" s="478"/>
      <c r="G65" s="478"/>
      <c r="H65" s="478"/>
      <c r="I65" s="478"/>
      <c r="J65" s="479"/>
      <c r="AC65" s="18"/>
      <c r="AW65" s="18"/>
    </row>
    <row r="66" spans="1:49" s="16" customFormat="1" ht="30" customHeight="1">
      <c r="A66" s="480" t="s">
        <v>479</v>
      </c>
      <c r="B66" s="481"/>
      <c r="C66" s="481"/>
      <c r="D66" s="481"/>
      <c r="E66" s="482"/>
      <c r="F66" s="480" t="s">
        <v>480</v>
      </c>
      <c r="G66" s="481"/>
      <c r="H66" s="481"/>
      <c r="I66" s="481"/>
      <c r="J66" s="482"/>
      <c r="L66" s="452" t="s">
        <v>481</v>
      </c>
      <c r="M66" s="453"/>
      <c r="N66" s="453"/>
      <c r="O66" s="453"/>
      <c r="P66" s="453"/>
      <c r="Q66" s="453"/>
      <c r="R66" s="453"/>
      <c r="S66" s="453"/>
      <c r="T66" s="453"/>
      <c r="U66" s="453"/>
      <c r="V66" s="453"/>
      <c r="W66" s="453"/>
      <c r="X66" s="453"/>
      <c r="Y66" s="453"/>
      <c r="Z66" s="453"/>
      <c r="AA66" s="453"/>
      <c r="AB66" s="454"/>
      <c r="AD66" s="368" t="s">
        <v>486</v>
      </c>
      <c r="AE66" s="369"/>
      <c r="AF66" s="369"/>
      <c r="AG66" s="369"/>
      <c r="AH66" s="369"/>
      <c r="AI66" s="369"/>
      <c r="AJ66" s="369"/>
      <c r="AK66" s="369"/>
      <c r="AL66" s="369"/>
      <c r="AM66" s="369"/>
      <c r="AN66" s="369"/>
      <c r="AO66" s="369"/>
      <c r="AP66" s="369"/>
      <c r="AQ66" s="369"/>
      <c r="AR66" s="369"/>
      <c r="AS66" s="369"/>
      <c r="AT66" s="370"/>
    </row>
    <row r="67" spans="1:49" s="16" customFormat="1" ht="30" customHeight="1">
      <c r="A67" s="420" t="s">
        <v>482</v>
      </c>
      <c r="B67" s="371"/>
      <c r="C67" s="372"/>
      <c r="D67" s="372"/>
      <c r="E67" s="373"/>
      <c r="F67" s="420" t="s">
        <v>482</v>
      </c>
      <c r="G67" s="405"/>
      <c r="H67" s="406"/>
      <c r="I67" s="406"/>
      <c r="J67" s="407"/>
      <c r="L67" s="20" t="s">
        <v>10</v>
      </c>
      <c r="M67" s="21"/>
      <c r="N67" s="21"/>
      <c r="O67" s="21"/>
      <c r="P67" s="22"/>
      <c r="Q67" s="371" t="s">
        <v>256</v>
      </c>
      <c r="R67" s="372"/>
      <c r="S67" s="373"/>
      <c r="T67" s="371" t="s">
        <v>12</v>
      </c>
      <c r="U67" s="372"/>
      <c r="V67" s="373"/>
      <c r="W67" s="371" t="s">
        <v>9</v>
      </c>
      <c r="X67" s="372"/>
      <c r="Y67" s="373"/>
      <c r="Z67" s="371" t="s">
        <v>11</v>
      </c>
      <c r="AA67" s="372"/>
      <c r="AB67" s="373"/>
      <c r="AD67" s="20" t="s">
        <v>10</v>
      </c>
      <c r="AE67" s="21"/>
      <c r="AF67" s="21"/>
      <c r="AG67" s="21"/>
      <c r="AH67" s="22"/>
      <c r="AI67" s="371" t="s">
        <v>256</v>
      </c>
      <c r="AJ67" s="372"/>
      <c r="AK67" s="373"/>
      <c r="AL67" s="371" t="s">
        <v>12</v>
      </c>
      <c r="AM67" s="372"/>
      <c r="AN67" s="373"/>
      <c r="AO67" s="371" t="s">
        <v>9</v>
      </c>
      <c r="AP67" s="372"/>
      <c r="AQ67" s="373"/>
      <c r="AR67" s="371" t="s">
        <v>11</v>
      </c>
      <c r="AS67" s="372"/>
      <c r="AT67" s="373"/>
    </row>
    <row r="68" spans="1:49" s="16" customFormat="1" ht="30" customHeight="1">
      <c r="A68" s="421"/>
      <c r="B68" s="414"/>
      <c r="C68" s="415"/>
      <c r="D68" s="415"/>
      <c r="E68" s="416"/>
      <c r="F68" s="421"/>
      <c r="G68" s="408"/>
      <c r="H68" s="409"/>
      <c r="I68" s="409"/>
      <c r="J68" s="410"/>
      <c r="L68" s="23" t="s">
        <v>249</v>
      </c>
      <c r="M68" s="24"/>
      <c r="N68" s="24"/>
      <c r="O68" s="24"/>
      <c r="P68" s="25"/>
      <c r="Q68" s="362" t="s">
        <v>255</v>
      </c>
      <c r="R68" s="363"/>
      <c r="S68" s="364"/>
      <c r="T68" s="362" t="s">
        <v>254</v>
      </c>
      <c r="U68" s="363"/>
      <c r="V68" s="364"/>
      <c r="W68" s="362" t="s">
        <v>214</v>
      </c>
      <c r="X68" s="363"/>
      <c r="Y68" s="364"/>
      <c r="Z68" s="362" t="s">
        <v>257</v>
      </c>
      <c r="AA68" s="363"/>
      <c r="AB68" s="364"/>
      <c r="AD68" s="23" t="s">
        <v>249</v>
      </c>
      <c r="AE68" s="24"/>
      <c r="AF68" s="24"/>
      <c r="AG68" s="24"/>
      <c r="AH68" s="25"/>
      <c r="AI68" s="362" t="s">
        <v>255</v>
      </c>
      <c r="AJ68" s="363"/>
      <c r="AK68" s="364"/>
      <c r="AL68" s="362" t="s">
        <v>254</v>
      </c>
      <c r="AM68" s="363"/>
      <c r="AN68" s="364"/>
      <c r="AO68" s="362" t="s">
        <v>214</v>
      </c>
      <c r="AP68" s="363"/>
      <c r="AQ68" s="364"/>
      <c r="AR68" s="362" t="s">
        <v>257</v>
      </c>
      <c r="AS68" s="363"/>
      <c r="AT68" s="364"/>
    </row>
    <row r="69" spans="1:49" s="16" customFormat="1" ht="30" customHeight="1">
      <c r="A69" s="422"/>
      <c r="B69" s="417"/>
      <c r="C69" s="418"/>
      <c r="D69" s="418"/>
      <c r="E69" s="419"/>
      <c r="F69" s="422"/>
      <c r="G69" s="411"/>
      <c r="H69" s="412"/>
      <c r="I69" s="412"/>
      <c r="J69" s="413"/>
      <c r="L69" s="20" t="s">
        <v>253</v>
      </c>
      <c r="M69" s="21"/>
      <c r="N69" s="21"/>
      <c r="O69" s="21"/>
      <c r="P69" s="22"/>
      <c r="Q69" s="399">
        <f>ROUND('New_MBO Form'!$Y$115,1)</f>
        <v>0</v>
      </c>
      <c r="R69" s="400"/>
      <c r="S69" s="401"/>
      <c r="T69" s="393">
        <f>VLOOKUP($AU$1,'Weight &amp; Grade Def.'!$B$7:$M$46,9,0)</f>
        <v>30</v>
      </c>
      <c r="U69" s="394"/>
      <c r="V69" s="395"/>
      <c r="W69" s="399">
        <f>(Q69*T69)/100</f>
        <v>0</v>
      </c>
      <c r="X69" s="400"/>
      <c r="Y69" s="401"/>
      <c r="Z69" s="895">
        <f>W69+W71</f>
        <v>2.59</v>
      </c>
      <c r="AA69" s="896"/>
      <c r="AB69" s="897"/>
      <c r="AD69" s="20" t="s">
        <v>253</v>
      </c>
      <c r="AE69" s="21"/>
      <c r="AF69" s="21"/>
      <c r="AG69" s="21"/>
      <c r="AH69" s="22"/>
      <c r="AI69" s="399">
        <f>ROUND('New_MBO Form'!$AS$115,1)</f>
        <v>0</v>
      </c>
      <c r="AJ69" s="400"/>
      <c r="AK69" s="401"/>
      <c r="AL69" s="393">
        <f>VLOOKUP($AU$1,'Weight &amp; Grade Def.'!$B$7:$M$46,9,0)</f>
        <v>30</v>
      </c>
      <c r="AM69" s="394"/>
      <c r="AN69" s="395"/>
      <c r="AO69" s="399">
        <f>(AI69*AL69)/100</f>
        <v>0</v>
      </c>
      <c r="AP69" s="400"/>
      <c r="AQ69" s="401"/>
      <c r="AR69" s="895">
        <f>AO69+AO71</f>
        <v>3.29</v>
      </c>
      <c r="AS69" s="896"/>
      <c r="AT69" s="897"/>
    </row>
    <row r="70" spans="1:49" s="16" customFormat="1" ht="30" customHeight="1">
      <c r="A70" s="420" t="s">
        <v>483</v>
      </c>
      <c r="B70" s="371"/>
      <c r="C70" s="372"/>
      <c r="D70" s="372"/>
      <c r="E70" s="373"/>
      <c r="F70" s="420" t="s">
        <v>483</v>
      </c>
      <c r="G70" s="405"/>
      <c r="H70" s="406"/>
      <c r="I70" s="406"/>
      <c r="J70" s="407"/>
      <c r="L70" s="23" t="s">
        <v>250</v>
      </c>
      <c r="M70" s="26"/>
      <c r="N70" s="26"/>
      <c r="O70" s="26"/>
      <c r="P70" s="27"/>
      <c r="Q70" s="402"/>
      <c r="R70" s="403"/>
      <c r="S70" s="404"/>
      <c r="T70" s="396"/>
      <c r="U70" s="397"/>
      <c r="V70" s="398"/>
      <c r="W70" s="402"/>
      <c r="X70" s="403"/>
      <c r="Y70" s="404"/>
      <c r="Z70" s="898"/>
      <c r="AA70" s="899"/>
      <c r="AB70" s="900"/>
      <c r="AD70" s="23" t="s">
        <v>250</v>
      </c>
      <c r="AE70" s="26"/>
      <c r="AF70" s="26"/>
      <c r="AG70" s="26"/>
      <c r="AH70" s="27"/>
      <c r="AI70" s="402"/>
      <c r="AJ70" s="403"/>
      <c r="AK70" s="404"/>
      <c r="AL70" s="396"/>
      <c r="AM70" s="397"/>
      <c r="AN70" s="398"/>
      <c r="AO70" s="402"/>
      <c r="AP70" s="403"/>
      <c r="AQ70" s="404"/>
      <c r="AR70" s="898"/>
      <c r="AS70" s="899"/>
      <c r="AT70" s="900"/>
    </row>
    <row r="71" spans="1:49" s="16" customFormat="1" ht="30" customHeight="1">
      <c r="A71" s="421"/>
      <c r="B71" s="414"/>
      <c r="C71" s="415"/>
      <c r="D71" s="415"/>
      <c r="E71" s="416"/>
      <c r="F71" s="421"/>
      <c r="G71" s="408"/>
      <c r="H71" s="409"/>
      <c r="I71" s="409"/>
      <c r="J71" s="410"/>
      <c r="L71" s="20" t="s">
        <v>251</v>
      </c>
      <c r="M71" s="21"/>
      <c r="N71" s="21"/>
      <c r="O71" s="21"/>
      <c r="P71" s="22"/>
      <c r="Q71" s="399">
        <f>ROUND(W63,1)</f>
        <v>3.7</v>
      </c>
      <c r="R71" s="400"/>
      <c r="S71" s="401"/>
      <c r="T71" s="393">
        <f>VLOOKUP($AU$1,'Weight &amp; Grade Def.'!$B$7:$M$46,12,0)</f>
        <v>70</v>
      </c>
      <c r="U71" s="394"/>
      <c r="V71" s="395"/>
      <c r="W71" s="399">
        <f>(Q71*T71)/100</f>
        <v>2.59</v>
      </c>
      <c r="X71" s="400"/>
      <c r="Y71" s="401"/>
      <c r="Z71" s="898"/>
      <c r="AA71" s="899"/>
      <c r="AB71" s="900"/>
      <c r="AD71" s="20" t="s">
        <v>251</v>
      </c>
      <c r="AE71" s="21"/>
      <c r="AF71" s="21"/>
      <c r="AG71" s="21"/>
      <c r="AH71" s="22"/>
      <c r="AI71" s="399">
        <f>ROUND(AO63,1)</f>
        <v>4.7</v>
      </c>
      <c r="AJ71" s="400"/>
      <c r="AK71" s="401"/>
      <c r="AL71" s="393">
        <f>VLOOKUP($AU$1,'Weight &amp; Grade Def.'!$B$7:$M$46,12,0)</f>
        <v>70</v>
      </c>
      <c r="AM71" s="394"/>
      <c r="AN71" s="395"/>
      <c r="AO71" s="399">
        <f>(AI71*AL71)/100</f>
        <v>3.29</v>
      </c>
      <c r="AP71" s="400"/>
      <c r="AQ71" s="401"/>
      <c r="AR71" s="898"/>
      <c r="AS71" s="899"/>
      <c r="AT71" s="900"/>
    </row>
    <row r="72" spans="1:49" s="16" customFormat="1" ht="30" customHeight="1">
      <c r="A72" s="422"/>
      <c r="B72" s="417"/>
      <c r="C72" s="418"/>
      <c r="D72" s="418"/>
      <c r="E72" s="419"/>
      <c r="F72" s="422"/>
      <c r="G72" s="411"/>
      <c r="H72" s="412"/>
      <c r="I72" s="412"/>
      <c r="J72" s="413"/>
      <c r="L72" s="23" t="s">
        <v>252</v>
      </c>
      <c r="M72" s="26"/>
      <c r="N72" s="26"/>
      <c r="O72" s="26"/>
      <c r="P72" s="27"/>
      <c r="Q72" s="402"/>
      <c r="R72" s="403"/>
      <c r="S72" s="404"/>
      <c r="T72" s="396"/>
      <c r="U72" s="397"/>
      <c r="V72" s="398"/>
      <c r="W72" s="402"/>
      <c r="X72" s="403"/>
      <c r="Y72" s="404"/>
      <c r="Z72" s="901"/>
      <c r="AA72" s="902"/>
      <c r="AB72" s="903"/>
      <c r="AD72" s="23" t="s">
        <v>252</v>
      </c>
      <c r="AE72" s="26"/>
      <c r="AF72" s="26"/>
      <c r="AG72" s="26"/>
      <c r="AH72" s="27"/>
      <c r="AI72" s="402"/>
      <c r="AJ72" s="403"/>
      <c r="AK72" s="404"/>
      <c r="AL72" s="396"/>
      <c r="AM72" s="397"/>
      <c r="AN72" s="398"/>
      <c r="AO72" s="402"/>
      <c r="AP72" s="403"/>
      <c r="AQ72" s="404"/>
      <c r="AR72" s="901"/>
      <c r="AS72" s="902"/>
      <c r="AT72" s="903"/>
    </row>
    <row r="73" spans="1:49" ht="82.5" customHeight="1"/>
    <row r="74" spans="1:49" ht="33">
      <c r="A74" s="427" t="s">
        <v>489</v>
      </c>
      <c r="B74" s="427"/>
      <c r="C74" s="427"/>
      <c r="D74" s="427"/>
      <c r="E74" s="427"/>
      <c r="F74" s="427"/>
      <c r="G74" s="427"/>
      <c r="H74" s="427"/>
      <c r="I74" s="427"/>
      <c r="J74" s="427"/>
      <c r="K74" s="427"/>
      <c r="L74" s="427"/>
      <c r="M74" s="427"/>
      <c r="N74" s="427"/>
      <c r="O74" s="427"/>
      <c r="P74" s="427"/>
      <c r="R74" s="427" t="s">
        <v>488</v>
      </c>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row>
    <row r="75" spans="1:49">
      <c r="A75" s="428" t="s">
        <v>221</v>
      </c>
      <c r="B75" s="428"/>
      <c r="C75" s="428"/>
      <c r="D75" s="428"/>
      <c r="E75" s="428"/>
      <c r="F75" s="428"/>
      <c r="G75" s="428"/>
      <c r="H75" s="428"/>
      <c r="I75" s="428"/>
      <c r="J75" s="428"/>
      <c r="K75" s="428"/>
      <c r="L75" s="428"/>
      <c r="M75" s="428"/>
      <c r="N75" s="428"/>
      <c r="O75" s="428"/>
      <c r="P75" s="428"/>
      <c r="R75" s="428" t="s">
        <v>222</v>
      </c>
      <c r="S75" s="428"/>
      <c r="T75" s="428"/>
      <c r="U75" s="428"/>
      <c r="V75" s="428"/>
      <c r="W75" s="428"/>
      <c r="X75" s="428"/>
      <c r="Y75" s="428"/>
      <c r="Z75" s="428"/>
      <c r="AA75" s="428"/>
      <c r="AB75" s="428"/>
      <c r="AC75" s="428"/>
      <c r="AD75" s="428"/>
      <c r="AE75" s="428"/>
      <c r="AF75" s="428"/>
      <c r="AG75" s="428"/>
      <c r="AH75" s="428"/>
      <c r="AI75" s="428"/>
      <c r="AJ75" s="428"/>
      <c r="AK75" s="428"/>
      <c r="AL75" s="428"/>
      <c r="AM75" s="428"/>
      <c r="AN75" s="428"/>
      <c r="AO75" s="428"/>
      <c r="AP75" s="428"/>
      <c r="AQ75" s="428"/>
      <c r="AR75" s="428"/>
      <c r="AS75" s="428"/>
      <c r="AT75" s="428"/>
    </row>
    <row r="76" spans="1:49" ht="30" customHeight="1"/>
    <row r="77" spans="1:49" s="40" customFormat="1" ht="30" customHeight="1">
      <c r="A77" s="444" t="s">
        <v>219</v>
      </c>
      <c r="B77" s="445"/>
      <c r="C77" s="445"/>
      <c r="D77" s="445"/>
      <c r="E77" s="445"/>
      <c r="F77" s="445"/>
      <c r="G77" s="446"/>
      <c r="I77" s="444" t="s">
        <v>220</v>
      </c>
      <c r="J77" s="445"/>
      <c r="K77" s="445"/>
      <c r="L77" s="445"/>
      <c r="M77" s="445"/>
      <c r="N77" s="445"/>
      <c r="O77" s="445"/>
      <c r="P77" s="446"/>
      <c r="R77" s="444" t="s">
        <v>238</v>
      </c>
      <c r="S77" s="445"/>
      <c r="T77" s="445"/>
      <c r="U77" s="445"/>
      <c r="V77" s="445"/>
      <c r="W77" s="445"/>
      <c r="X77" s="445"/>
      <c r="Y77" s="445"/>
      <c r="Z77" s="445"/>
      <c r="AA77" s="445"/>
      <c r="AB77" s="445"/>
      <c r="AC77" s="446"/>
      <c r="AD77" s="444" t="s">
        <v>234</v>
      </c>
      <c r="AE77" s="445"/>
      <c r="AF77" s="445"/>
      <c r="AG77" s="445"/>
      <c r="AH77" s="445"/>
      <c r="AI77" s="445"/>
      <c r="AJ77" s="445"/>
      <c r="AK77" s="445"/>
      <c r="AL77" s="446"/>
      <c r="AM77" s="444" t="s">
        <v>240</v>
      </c>
      <c r="AN77" s="445"/>
      <c r="AO77" s="445"/>
      <c r="AP77" s="446"/>
      <c r="AQ77" s="444" t="s">
        <v>239</v>
      </c>
      <c r="AR77" s="445"/>
      <c r="AS77" s="445"/>
      <c r="AT77" s="446"/>
    </row>
    <row r="78" spans="1:49" s="3" customFormat="1" ht="30" customHeight="1">
      <c r="A78" s="28" t="s">
        <v>5</v>
      </c>
      <c r="B78" s="429" t="s">
        <v>8</v>
      </c>
      <c r="C78" s="430"/>
      <c r="D78" s="430"/>
      <c r="E78" s="431"/>
      <c r="F78" s="429" t="s">
        <v>218</v>
      </c>
      <c r="G78" s="431"/>
      <c r="I78" s="28" t="s">
        <v>5</v>
      </c>
      <c r="J78" s="429" t="s">
        <v>8</v>
      </c>
      <c r="K78" s="430"/>
      <c r="L78" s="430"/>
      <c r="M78" s="431"/>
      <c r="N78" s="429" t="s">
        <v>218</v>
      </c>
      <c r="O78" s="430"/>
      <c r="P78" s="431"/>
      <c r="R78" s="28" t="s">
        <v>5</v>
      </c>
      <c r="S78" s="429" t="s">
        <v>223</v>
      </c>
      <c r="T78" s="430"/>
      <c r="U78" s="430"/>
      <c r="V78" s="430"/>
      <c r="W78" s="430"/>
      <c r="X78" s="431"/>
      <c r="Y78" s="429" t="s">
        <v>224</v>
      </c>
      <c r="Z78" s="430"/>
      <c r="AA78" s="430"/>
      <c r="AB78" s="430"/>
      <c r="AC78" s="431"/>
      <c r="AD78" s="429" t="s">
        <v>225</v>
      </c>
      <c r="AE78" s="430"/>
      <c r="AF78" s="431"/>
      <c r="AG78" s="429" t="s">
        <v>226</v>
      </c>
      <c r="AH78" s="430"/>
      <c r="AI78" s="431"/>
      <c r="AJ78" s="429" t="s">
        <v>227</v>
      </c>
      <c r="AK78" s="430"/>
      <c r="AL78" s="431"/>
      <c r="AM78" s="429" t="s">
        <v>241</v>
      </c>
      <c r="AN78" s="431"/>
      <c r="AO78" s="429" t="s">
        <v>487</v>
      </c>
      <c r="AP78" s="431"/>
      <c r="AQ78" s="429" t="s">
        <v>244</v>
      </c>
      <c r="AR78" s="431"/>
      <c r="AS78" s="429" t="s">
        <v>245</v>
      </c>
      <c r="AT78" s="431"/>
    </row>
    <row r="79" spans="1:49" s="35" customFormat="1" ht="30" customHeight="1">
      <c r="A79" s="34" t="s">
        <v>228</v>
      </c>
      <c r="B79" s="432" t="s">
        <v>230</v>
      </c>
      <c r="C79" s="433"/>
      <c r="D79" s="433"/>
      <c r="E79" s="434"/>
      <c r="F79" s="432" t="s">
        <v>229</v>
      </c>
      <c r="G79" s="434"/>
      <c r="I79" s="34" t="s">
        <v>228</v>
      </c>
      <c r="J79" s="432" t="s">
        <v>231</v>
      </c>
      <c r="K79" s="433"/>
      <c r="L79" s="433"/>
      <c r="M79" s="434"/>
      <c r="N79" s="432" t="s">
        <v>229</v>
      </c>
      <c r="O79" s="433"/>
      <c r="P79" s="434"/>
      <c r="R79" s="36" t="s">
        <v>228</v>
      </c>
      <c r="S79" s="455" t="s">
        <v>232</v>
      </c>
      <c r="T79" s="456"/>
      <c r="U79" s="456"/>
      <c r="V79" s="456"/>
      <c r="W79" s="456"/>
      <c r="X79" s="457"/>
      <c r="Y79" s="455" t="s">
        <v>233</v>
      </c>
      <c r="Z79" s="456"/>
      <c r="AA79" s="456"/>
      <c r="AB79" s="456"/>
      <c r="AC79" s="457"/>
      <c r="AD79" s="432" t="s">
        <v>236</v>
      </c>
      <c r="AE79" s="433"/>
      <c r="AF79" s="434"/>
      <c r="AG79" s="455" t="s">
        <v>237</v>
      </c>
      <c r="AH79" s="456"/>
      <c r="AI79" s="457"/>
      <c r="AJ79" s="432" t="s">
        <v>235</v>
      </c>
      <c r="AK79" s="433"/>
      <c r="AL79" s="434"/>
      <c r="AM79" s="455" t="s">
        <v>242</v>
      </c>
      <c r="AN79" s="457"/>
      <c r="AO79" s="455" t="s">
        <v>243</v>
      </c>
      <c r="AP79" s="457"/>
      <c r="AQ79" s="432" t="s">
        <v>246</v>
      </c>
      <c r="AR79" s="434"/>
      <c r="AS79" s="432" t="s">
        <v>247</v>
      </c>
      <c r="AT79" s="434"/>
    </row>
    <row r="80" spans="1:49" s="3" customFormat="1" ht="70.05" customHeight="1">
      <c r="A80" s="29">
        <v>1</v>
      </c>
      <c r="B80" s="447"/>
      <c r="C80" s="448"/>
      <c r="D80" s="448"/>
      <c r="E80" s="449"/>
      <c r="F80" s="450"/>
      <c r="G80" s="451"/>
      <c r="I80" s="29">
        <v>1</v>
      </c>
      <c r="J80" s="447"/>
      <c r="K80" s="448"/>
      <c r="L80" s="448"/>
      <c r="M80" s="449"/>
      <c r="N80" s="450"/>
      <c r="O80" s="462"/>
      <c r="P80" s="451"/>
      <c r="R80" s="30">
        <v>1</v>
      </c>
      <c r="S80" s="458"/>
      <c r="T80" s="459"/>
      <c r="U80" s="459"/>
      <c r="V80" s="459"/>
      <c r="W80" s="459"/>
      <c r="X80" s="460"/>
      <c r="Y80" s="458"/>
      <c r="Z80" s="459"/>
      <c r="AA80" s="459"/>
      <c r="AB80" s="459"/>
      <c r="AC80" s="460"/>
      <c r="AD80" s="461"/>
      <c r="AE80" s="288"/>
      <c r="AF80" s="289"/>
      <c r="AG80" s="461"/>
      <c r="AH80" s="288"/>
      <c r="AI80" s="289"/>
      <c r="AJ80" s="461"/>
      <c r="AK80" s="288"/>
      <c r="AL80" s="289"/>
      <c r="AM80" s="461"/>
      <c r="AN80" s="289"/>
      <c r="AO80" s="461"/>
      <c r="AP80" s="289"/>
      <c r="AQ80" s="461"/>
      <c r="AR80" s="289"/>
      <c r="AS80" s="461"/>
      <c r="AT80" s="289"/>
    </row>
    <row r="81" spans="1:46" s="3" customFormat="1" ht="70.05" customHeight="1">
      <c r="A81" s="29">
        <v>2</v>
      </c>
      <c r="B81" s="447"/>
      <c r="C81" s="448"/>
      <c r="D81" s="448"/>
      <c r="E81" s="449"/>
      <c r="F81" s="450"/>
      <c r="G81" s="451"/>
      <c r="I81" s="29">
        <v>2</v>
      </c>
      <c r="J81" s="447"/>
      <c r="K81" s="448"/>
      <c r="L81" s="448"/>
      <c r="M81" s="449"/>
      <c r="N81" s="450"/>
      <c r="O81" s="462"/>
      <c r="P81" s="451"/>
      <c r="R81" s="29">
        <v>2</v>
      </c>
      <c r="S81" s="458"/>
      <c r="T81" s="459"/>
      <c r="U81" s="459"/>
      <c r="V81" s="459"/>
      <c r="W81" s="459"/>
      <c r="X81" s="460"/>
      <c r="Y81" s="458"/>
      <c r="Z81" s="459"/>
      <c r="AA81" s="459"/>
      <c r="AB81" s="459"/>
      <c r="AC81" s="460"/>
      <c r="AD81" s="461"/>
      <c r="AE81" s="288"/>
      <c r="AF81" s="289"/>
      <c r="AG81" s="461"/>
      <c r="AH81" s="288"/>
      <c r="AI81" s="289"/>
      <c r="AJ81" s="461"/>
      <c r="AK81" s="288"/>
      <c r="AL81" s="289"/>
      <c r="AM81" s="461"/>
      <c r="AN81" s="289"/>
      <c r="AO81" s="461"/>
      <c r="AP81" s="289"/>
      <c r="AQ81" s="461"/>
      <c r="AR81" s="289"/>
      <c r="AS81" s="461"/>
      <c r="AT81" s="289"/>
    </row>
    <row r="82" spans="1:46" s="3" customFormat="1" ht="70.05" customHeight="1">
      <c r="A82" s="29">
        <v>3</v>
      </c>
      <c r="B82" s="447"/>
      <c r="C82" s="448"/>
      <c r="D82" s="448"/>
      <c r="E82" s="449"/>
      <c r="F82" s="450"/>
      <c r="G82" s="451"/>
      <c r="I82" s="29">
        <v>3</v>
      </c>
      <c r="J82" s="447"/>
      <c r="K82" s="448"/>
      <c r="L82" s="448"/>
      <c r="M82" s="449"/>
      <c r="N82" s="450"/>
      <c r="O82" s="462"/>
      <c r="P82" s="451"/>
      <c r="R82" s="29">
        <v>3</v>
      </c>
      <c r="S82" s="458"/>
      <c r="T82" s="459"/>
      <c r="U82" s="459"/>
      <c r="V82" s="459"/>
      <c r="W82" s="459"/>
      <c r="X82" s="460"/>
      <c r="Y82" s="458"/>
      <c r="Z82" s="459"/>
      <c r="AA82" s="459"/>
      <c r="AB82" s="459"/>
      <c r="AC82" s="460"/>
      <c r="AD82" s="461"/>
      <c r="AE82" s="288"/>
      <c r="AF82" s="289"/>
      <c r="AG82" s="461"/>
      <c r="AH82" s="288"/>
      <c r="AI82" s="289"/>
      <c r="AJ82" s="461"/>
      <c r="AK82" s="288"/>
      <c r="AL82" s="289"/>
      <c r="AM82" s="461"/>
      <c r="AN82" s="289"/>
      <c r="AO82" s="461"/>
      <c r="AP82" s="289"/>
      <c r="AQ82" s="461"/>
      <c r="AR82" s="289"/>
      <c r="AS82" s="461"/>
      <c r="AT82" s="289"/>
    </row>
    <row r="83" spans="1:46" s="3" customFormat="1" ht="70.05" customHeight="1">
      <c r="A83" s="29">
        <v>4</v>
      </c>
      <c r="B83" s="447"/>
      <c r="C83" s="448"/>
      <c r="D83" s="448"/>
      <c r="E83" s="449"/>
      <c r="F83" s="450"/>
      <c r="G83" s="451"/>
      <c r="I83" s="29">
        <v>4</v>
      </c>
      <c r="J83" s="447"/>
      <c r="K83" s="448"/>
      <c r="L83" s="448"/>
      <c r="M83" s="449"/>
      <c r="N83" s="450"/>
      <c r="O83" s="462"/>
      <c r="P83" s="451"/>
      <c r="R83" s="29">
        <v>4</v>
      </c>
      <c r="S83" s="458"/>
      <c r="T83" s="459"/>
      <c r="U83" s="459"/>
      <c r="V83" s="459"/>
      <c r="W83" s="459"/>
      <c r="X83" s="460"/>
      <c r="Y83" s="458"/>
      <c r="Z83" s="459"/>
      <c r="AA83" s="459"/>
      <c r="AB83" s="459"/>
      <c r="AC83" s="460"/>
      <c r="AD83" s="461"/>
      <c r="AE83" s="288"/>
      <c r="AF83" s="289"/>
      <c r="AG83" s="461"/>
      <c r="AH83" s="288"/>
      <c r="AI83" s="289"/>
      <c r="AJ83" s="461"/>
      <c r="AK83" s="288"/>
      <c r="AL83" s="289"/>
      <c r="AM83" s="461"/>
      <c r="AN83" s="289"/>
      <c r="AO83" s="461"/>
      <c r="AP83" s="289"/>
      <c r="AQ83" s="461"/>
      <c r="AR83" s="289"/>
      <c r="AS83" s="461"/>
      <c r="AT83" s="289"/>
    </row>
    <row r="84" spans="1:46" s="3" customFormat="1" ht="70.05" customHeight="1">
      <c r="A84" s="29">
        <v>5</v>
      </c>
      <c r="B84" s="447"/>
      <c r="C84" s="448"/>
      <c r="D84" s="448"/>
      <c r="E84" s="449"/>
      <c r="F84" s="450"/>
      <c r="G84" s="451"/>
      <c r="I84" s="29">
        <v>5</v>
      </c>
      <c r="J84" s="447"/>
      <c r="K84" s="448"/>
      <c r="L84" s="448"/>
      <c r="M84" s="449"/>
      <c r="N84" s="450"/>
      <c r="O84" s="462"/>
      <c r="P84" s="451"/>
      <c r="R84" s="29">
        <v>5</v>
      </c>
      <c r="S84" s="458"/>
      <c r="T84" s="459"/>
      <c r="U84" s="459"/>
      <c r="V84" s="459"/>
      <c r="W84" s="459"/>
      <c r="X84" s="460"/>
      <c r="Y84" s="458"/>
      <c r="Z84" s="459"/>
      <c r="AA84" s="459"/>
      <c r="AB84" s="459"/>
      <c r="AC84" s="460"/>
      <c r="AD84" s="461"/>
      <c r="AE84" s="288"/>
      <c r="AF84" s="289"/>
      <c r="AG84" s="461"/>
      <c r="AH84" s="288"/>
      <c r="AI84" s="289"/>
      <c r="AJ84" s="461"/>
      <c r="AK84" s="288"/>
      <c r="AL84" s="289"/>
      <c r="AM84" s="461"/>
      <c r="AN84" s="289"/>
      <c r="AO84" s="461"/>
      <c r="AP84" s="289"/>
      <c r="AQ84" s="461"/>
      <c r="AR84" s="289"/>
      <c r="AS84" s="461"/>
      <c r="AT84" s="289"/>
    </row>
    <row r="86" spans="1:46">
      <c r="B86" s="31"/>
      <c r="C86" s="32"/>
      <c r="D86" s="32"/>
      <c r="E86" s="32"/>
      <c r="F86" s="32"/>
      <c r="G86" s="32"/>
      <c r="H86" s="32"/>
      <c r="I86" s="32"/>
      <c r="J86" s="32"/>
      <c r="K86" s="32"/>
      <c r="L86" s="33"/>
      <c r="M86" s="32"/>
      <c r="N86" s="32"/>
      <c r="O86" s="32"/>
      <c r="P86" s="32"/>
      <c r="Q86" s="32"/>
      <c r="R86" s="32"/>
      <c r="S86" s="32"/>
    </row>
    <row r="87" spans="1:46">
      <c r="B87" s="31"/>
      <c r="C87" s="32"/>
      <c r="D87" s="32"/>
      <c r="E87" s="32"/>
      <c r="F87" s="32"/>
      <c r="G87" s="32"/>
      <c r="H87" s="32"/>
      <c r="I87" s="32"/>
      <c r="J87" s="32"/>
      <c r="K87" s="32"/>
      <c r="L87" s="33"/>
      <c r="M87" s="32"/>
      <c r="N87" s="32"/>
      <c r="O87" s="32"/>
      <c r="P87" s="32"/>
      <c r="Q87" s="32"/>
      <c r="R87" s="32"/>
      <c r="S87" s="32"/>
    </row>
    <row r="88" spans="1:46">
      <c r="B88" s="31"/>
      <c r="C88" s="32"/>
      <c r="D88" s="32"/>
      <c r="E88" s="32"/>
      <c r="F88" s="32"/>
      <c r="G88" s="32"/>
      <c r="H88" s="32"/>
      <c r="I88" s="32"/>
      <c r="J88" s="32"/>
      <c r="K88" s="32"/>
      <c r="L88" s="33"/>
      <c r="M88" s="32"/>
      <c r="N88" s="32"/>
      <c r="O88" s="32"/>
      <c r="P88" s="32"/>
      <c r="Q88" s="32"/>
      <c r="R88" s="32"/>
      <c r="S88" s="32"/>
    </row>
    <row r="89" spans="1:46">
      <c r="B89" s="31"/>
      <c r="C89" s="32"/>
      <c r="D89" s="32"/>
      <c r="E89" s="32"/>
      <c r="F89" s="32"/>
      <c r="G89" s="32"/>
      <c r="H89" s="32"/>
      <c r="I89" s="32"/>
      <c r="J89" s="32"/>
      <c r="K89" s="32"/>
      <c r="L89" s="33"/>
      <c r="M89" s="32"/>
      <c r="N89" s="32"/>
      <c r="O89" s="32"/>
      <c r="P89" s="32"/>
      <c r="Q89" s="32"/>
      <c r="R89" s="32"/>
      <c r="S89" s="32"/>
    </row>
    <row r="90" spans="1:46">
      <c r="B90" s="31"/>
      <c r="C90" s="32"/>
      <c r="D90" s="32"/>
      <c r="E90" s="32"/>
      <c r="F90" s="32"/>
      <c r="G90" s="32"/>
      <c r="H90" s="32"/>
      <c r="I90" s="32"/>
      <c r="J90" s="32"/>
      <c r="K90" s="32"/>
      <c r="L90" s="33"/>
      <c r="M90" s="32"/>
      <c r="N90" s="32"/>
      <c r="O90" s="32"/>
      <c r="P90" s="32"/>
      <c r="Q90" s="32"/>
      <c r="R90" s="32"/>
      <c r="S90" s="32"/>
    </row>
    <row r="91" spans="1:46">
      <c r="B91" s="31"/>
      <c r="C91" s="32"/>
      <c r="D91" s="32"/>
      <c r="E91" s="32"/>
      <c r="F91" s="32"/>
      <c r="G91" s="32"/>
      <c r="H91" s="32"/>
      <c r="I91" s="32"/>
      <c r="J91" s="32"/>
      <c r="K91" s="32"/>
      <c r="L91" s="33"/>
      <c r="M91" s="32"/>
      <c r="N91" s="32"/>
      <c r="O91" s="32"/>
      <c r="P91" s="32"/>
      <c r="Q91" s="32"/>
      <c r="R91" s="32"/>
      <c r="S91" s="32"/>
    </row>
  </sheetData>
  <sheetProtection formatCells="0" selectLockedCells="1"/>
  <mergeCells count="310">
    <mergeCell ref="C10:M10"/>
    <mergeCell ref="AG84:AI84"/>
    <mergeCell ref="AJ84:AL84"/>
    <mergeCell ref="AM84:AN84"/>
    <mergeCell ref="AO84:AP84"/>
    <mergeCell ref="AQ84:AR84"/>
    <mergeCell ref="AM83:AN83"/>
    <mergeCell ref="AO83:AP83"/>
    <mergeCell ref="AQ83:AR83"/>
    <mergeCell ref="AD84:AF84"/>
    <mergeCell ref="AM81:AN81"/>
    <mergeCell ref="AO81:AP81"/>
    <mergeCell ref="AQ81:AR81"/>
    <mergeCell ref="AQ79:AR79"/>
    <mergeCell ref="A74:P74"/>
    <mergeCell ref="R74:AT74"/>
    <mergeCell ref="A75:P75"/>
    <mergeCell ref="R75:AT75"/>
    <mergeCell ref="A77:G77"/>
    <mergeCell ref="I77:P77"/>
    <mergeCell ref="R77:AC77"/>
    <mergeCell ref="AD77:AL77"/>
    <mergeCell ref="AM77:AP77"/>
    <mergeCell ref="AS83:AT83"/>
    <mergeCell ref="B84:E84"/>
    <mergeCell ref="F84:G84"/>
    <mergeCell ref="J84:M84"/>
    <mergeCell ref="N84:P84"/>
    <mergeCell ref="S84:X84"/>
    <mergeCell ref="Y84:AC84"/>
    <mergeCell ref="AS82:AT82"/>
    <mergeCell ref="B83:E83"/>
    <mergeCell ref="F83:G83"/>
    <mergeCell ref="J83:M83"/>
    <mergeCell ref="N83:P83"/>
    <mergeCell ref="S83:X83"/>
    <mergeCell ref="Y83:AC83"/>
    <mergeCell ref="AD83:AF83"/>
    <mergeCell ref="AG83:AI83"/>
    <mergeCell ref="AJ83:AL83"/>
    <mergeCell ref="AD82:AF82"/>
    <mergeCell ref="AG82:AI82"/>
    <mergeCell ref="AJ82:AL82"/>
    <mergeCell ref="AM82:AN82"/>
    <mergeCell ref="AQ82:AR82"/>
    <mergeCell ref="AS84:AT84"/>
    <mergeCell ref="AS81:AT81"/>
    <mergeCell ref="B82:E82"/>
    <mergeCell ref="F82:G82"/>
    <mergeCell ref="J82:M82"/>
    <mergeCell ref="N82:P82"/>
    <mergeCell ref="S82:X82"/>
    <mergeCell ref="Y82:AC82"/>
    <mergeCell ref="B81:E81"/>
    <mergeCell ref="F81:G81"/>
    <mergeCell ref="J81:M81"/>
    <mergeCell ref="N81:P81"/>
    <mergeCell ref="S81:X81"/>
    <mergeCell ref="Y81:AC81"/>
    <mergeCell ref="AD81:AF81"/>
    <mergeCell ref="AG81:AI81"/>
    <mergeCell ref="AJ81:AL81"/>
    <mergeCell ref="AO82:AP82"/>
    <mergeCell ref="AS79:AT79"/>
    <mergeCell ref="B80:E80"/>
    <mergeCell ref="F80:G80"/>
    <mergeCell ref="J80:M80"/>
    <mergeCell ref="N80:P80"/>
    <mergeCell ref="S80:X80"/>
    <mergeCell ref="Y80:AC80"/>
    <mergeCell ref="AS80:AT80"/>
    <mergeCell ref="AD80:AF80"/>
    <mergeCell ref="AG80:AI80"/>
    <mergeCell ref="AJ80:AL80"/>
    <mergeCell ref="AM80:AN80"/>
    <mergeCell ref="AO80:AP80"/>
    <mergeCell ref="AQ80:AR80"/>
    <mergeCell ref="AS78:AT78"/>
    <mergeCell ref="B79:E79"/>
    <mergeCell ref="F79:G79"/>
    <mergeCell ref="J79:M79"/>
    <mergeCell ref="N79:P79"/>
    <mergeCell ref="S79:X79"/>
    <mergeCell ref="Y79:AC79"/>
    <mergeCell ref="AD79:AF79"/>
    <mergeCell ref="AG79:AI79"/>
    <mergeCell ref="AJ79:AL79"/>
    <mergeCell ref="AD78:AF78"/>
    <mergeCell ref="AG78:AI78"/>
    <mergeCell ref="AJ78:AL78"/>
    <mergeCell ref="AM78:AN78"/>
    <mergeCell ref="AO78:AP78"/>
    <mergeCell ref="AQ78:AR78"/>
    <mergeCell ref="B78:E78"/>
    <mergeCell ref="F78:G78"/>
    <mergeCell ref="J78:M78"/>
    <mergeCell ref="N78:P78"/>
    <mergeCell ref="S78:X78"/>
    <mergeCell ref="Y78:AC78"/>
    <mergeCell ref="AM79:AN79"/>
    <mergeCell ref="AO79:AP79"/>
    <mergeCell ref="AQ77:AT77"/>
    <mergeCell ref="Z68:AB68"/>
    <mergeCell ref="AI68:AK68"/>
    <mergeCell ref="AL68:AN68"/>
    <mergeCell ref="AO68:AQ68"/>
    <mergeCell ref="AR68:AT68"/>
    <mergeCell ref="A70:A72"/>
    <mergeCell ref="B70:E72"/>
    <mergeCell ref="F70:F72"/>
    <mergeCell ref="G70:J72"/>
    <mergeCell ref="Q71:S72"/>
    <mergeCell ref="T71:V72"/>
    <mergeCell ref="W69:Y70"/>
    <mergeCell ref="Z69:AB72"/>
    <mergeCell ref="AI69:AK70"/>
    <mergeCell ref="W67:Y67"/>
    <mergeCell ref="Z67:AB67"/>
    <mergeCell ref="AI67:AK67"/>
    <mergeCell ref="AL67:AN67"/>
    <mergeCell ref="AO67:AQ67"/>
    <mergeCell ref="AR67:AT67"/>
    <mergeCell ref="A67:A69"/>
    <mergeCell ref="B67:E69"/>
    <mergeCell ref="F67:F69"/>
    <mergeCell ref="G67:J69"/>
    <mergeCell ref="Q67:S67"/>
    <mergeCell ref="T67:V67"/>
    <mergeCell ref="Q68:S68"/>
    <mergeCell ref="T68:V68"/>
    <mergeCell ref="Q69:S70"/>
    <mergeCell ref="T69:V70"/>
    <mergeCell ref="AL69:AN70"/>
    <mergeCell ref="AO69:AQ70"/>
    <mergeCell ref="AR69:AT72"/>
    <mergeCell ref="W71:Y72"/>
    <mergeCell ref="AI71:AK72"/>
    <mergeCell ref="AL71:AN72"/>
    <mergeCell ref="AO71:AQ72"/>
    <mergeCell ref="W68:Y68"/>
    <mergeCell ref="A65:J65"/>
    <mergeCell ref="A66:E66"/>
    <mergeCell ref="F66:J66"/>
    <mergeCell ref="L66:AB66"/>
    <mergeCell ref="AD66:AT66"/>
    <mergeCell ref="W57:W62"/>
    <mergeCell ref="X57:AB62"/>
    <mergeCell ref="AC57:AC62"/>
    <mergeCell ref="AD57:AH62"/>
    <mergeCell ref="AI57:AI62"/>
    <mergeCell ref="AJ57:AN62"/>
    <mergeCell ref="AJ51:AN56"/>
    <mergeCell ref="AO51:AO56"/>
    <mergeCell ref="AP51:AT56"/>
    <mergeCell ref="A57:B62"/>
    <mergeCell ref="C57:F62"/>
    <mergeCell ref="G57:J62"/>
    <mergeCell ref="K57:K62"/>
    <mergeCell ref="L57:P62"/>
    <mergeCell ref="Q57:Q62"/>
    <mergeCell ref="R57:V62"/>
    <mergeCell ref="R51:V56"/>
    <mergeCell ref="W51:W56"/>
    <mergeCell ref="X51:AB56"/>
    <mergeCell ref="AC51:AC56"/>
    <mergeCell ref="AD51:AH56"/>
    <mergeCell ref="AI51:AI56"/>
    <mergeCell ref="A51:B56"/>
    <mergeCell ref="C51:F56"/>
    <mergeCell ref="G51:J56"/>
    <mergeCell ref="K51:K56"/>
    <mergeCell ref="L51:P56"/>
    <mergeCell ref="Q51:Q56"/>
    <mergeCell ref="AO57:AO62"/>
    <mergeCell ref="AP57:AT62"/>
    <mergeCell ref="AO45:AO50"/>
    <mergeCell ref="AP45:AT50"/>
    <mergeCell ref="AP39:AT44"/>
    <mergeCell ref="A45:B50"/>
    <mergeCell ref="C45:F50"/>
    <mergeCell ref="G45:J50"/>
    <mergeCell ref="K45:K50"/>
    <mergeCell ref="L45:P50"/>
    <mergeCell ref="Q45:Q50"/>
    <mergeCell ref="R45:V50"/>
    <mergeCell ref="W45:W50"/>
    <mergeCell ref="X45:AB50"/>
    <mergeCell ref="X39:AB44"/>
    <mergeCell ref="AC39:AC44"/>
    <mergeCell ref="AD39:AH44"/>
    <mergeCell ref="AI39:AI44"/>
    <mergeCell ref="AJ39:AN44"/>
    <mergeCell ref="AO39:AO44"/>
    <mergeCell ref="A39:B44"/>
    <mergeCell ref="C39:F44"/>
    <mergeCell ref="G39:J44"/>
    <mergeCell ref="K39:K44"/>
    <mergeCell ref="L39:P44"/>
    <mergeCell ref="Q39:Q44"/>
    <mergeCell ref="X33:AB38"/>
    <mergeCell ref="AC33:AC38"/>
    <mergeCell ref="AD33:AH38"/>
    <mergeCell ref="AI33:AI38"/>
    <mergeCell ref="AJ33:AN38"/>
    <mergeCell ref="AC45:AC50"/>
    <mergeCell ref="AD45:AH50"/>
    <mergeCell ref="AI45:AI50"/>
    <mergeCell ref="AJ45:AN50"/>
    <mergeCell ref="R39:V44"/>
    <mergeCell ref="W39:W44"/>
    <mergeCell ref="W33:W38"/>
    <mergeCell ref="AJ27:AN32"/>
    <mergeCell ref="AO27:AO32"/>
    <mergeCell ref="AP27:AT32"/>
    <mergeCell ref="A33:B38"/>
    <mergeCell ref="C33:F38"/>
    <mergeCell ref="G33:J38"/>
    <mergeCell ref="K33:K38"/>
    <mergeCell ref="L33:P38"/>
    <mergeCell ref="Q33:Q38"/>
    <mergeCell ref="R33:V38"/>
    <mergeCell ref="R27:V32"/>
    <mergeCell ref="W27:W32"/>
    <mergeCell ref="X27:AB32"/>
    <mergeCell ref="AC27:AC32"/>
    <mergeCell ref="AD27:AH32"/>
    <mergeCell ref="AI27:AI32"/>
    <mergeCell ref="A27:B32"/>
    <mergeCell ref="C27:F32"/>
    <mergeCell ref="G27:J32"/>
    <mergeCell ref="K27:K32"/>
    <mergeCell ref="L27:P32"/>
    <mergeCell ref="Q27:Q32"/>
    <mergeCell ref="AO33:AO38"/>
    <mergeCell ref="AP33:AT38"/>
    <mergeCell ref="A23:B26"/>
    <mergeCell ref="C23:F26"/>
    <mergeCell ref="G23:J26"/>
    <mergeCell ref="K23:AB23"/>
    <mergeCell ref="AC23:AT23"/>
    <mergeCell ref="K24:P24"/>
    <mergeCell ref="Q24:V24"/>
    <mergeCell ref="W24:AB24"/>
    <mergeCell ref="AC24:AH24"/>
    <mergeCell ref="AI24:AN24"/>
    <mergeCell ref="L26:P26"/>
    <mergeCell ref="R26:V26"/>
    <mergeCell ref="X26:AB26"/>
    <mergeCell ref="AD26:AH26"/>
    <mergeCell ref="AJ26:AN26"/>
    <mergeCell ref="AP26:AT26"/>
    <mergeCell ref="AO24:AT24"/>
    <mergeCell ref="L25:P25"/>
    <mergeCell ref="R25:V25"/>
    <mergeCell ref="X25:AB25"/>
    <mergeCell ref="AD25:AH25"/>
    <mergeCell ref="AJ25:AN25"/>
    <mergeCell ref="AP25:AT25"/>
    <mergeCell ref="AO12:AP12"/>
    <mergeCell ref="AQ12:AR12"/>
    <mergeCell ref="AS12:AT12"/>
    <mergeCell ref="A14:B19"/>
    <mergeCell ref="C14:E15"/>
    <mergeCell ref="F14:F15"/>
    <mergeCell ref="G14:AH15"/>
    <mergeCell ref="AJ14:AT14"/>
    <mergeCell ref="AK15:AT15"/>
    <mergeCell ref="C16:E17"/>
    <mergeCell ref="F16:F17"/>
    <mergeCell ref="G16:AH17"/>
    <mergeCell ref="AK16:AT16"/>
    <mergeCell ref="AK17:AT17"/>
    <mergeCell ref="C18:E19"/>
    <mergeCell ref="F18:F19"/>
    <mergeCell ref="G18:AH19"/>
    <mergeCell ref="AK18:AT18"/>
    <mergeCell ref="AK19:AT19"/>
    <mergeCell ref="R10:AD10"/>
    <mergeCell ref="AO7:AP7"/>
    <mergeCell ref="AQ7:AR7"/>
    <mergeCell ref="AS7:AT7"/>
    <mergeCell ref="AH10:AJ10"/>
    <mergeCell ref="AH7:AI7"/>
    <mergeCell ref="AG4:AI4"/>
    <mergeCell ref="AA7:AD7"/>
    <mergeCell ref="AO6:AP6"/>
    <mergeCell ref="AQ6:AR6"/>
    <mergeCell ref="AS6:AT6"/>
    <mergeCell ref="AK3:AN12"/>
    <mergeCell ref="AO3:AT3"/>
    <mergeCell ref="AO8:AT8"/>
    <mergeCell ref="AO9:AP10"/>
    <mergeCell ref="AQ9:AR10"/>
    <mergeCell ref="AS9:AT10"/>
    <mergeCell ref="AO11:AP11"/>
    <mergeCell ref="AQ11:AR11"/>
    <mergeCell ref="AS11:AT11"/>
    <mergeCell ref="AY1:AY2"/>
    <mergeCell ref="A2:AT2"/>
    <mergeCell ref="B7:G7"/>
    <mergeCell ref="L7:X7"/>
    <mergeCell ref="A1:AT1"/>
    <mergeCell ref="AU1:AU2"/>
    <mergeCell ref="AV1:AV2"/>
    <mergeCell ref="AW1:AW2"/>
    <mergeCell ref="AX1:AX2"/>
    <mergeCell ref="B4:H4"/>
    <mergeCell ref="J4:L4"/>
    <mergeCell ref="O4:U4"/>
    <mergeCell ref="X4:AA4"/>
  </mergeCells>
  <printOptions horizontalCentered="1" verticalCentered="1"/>
  <pageMargins left="0.49" right="0.28999999999999998" top="0.32" bottom="0.3" header="0.3" footer="0.3"/>
  <pageSetup paperSize="8" scale="31"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B5A4-BEB9-42BB-8C30-1B0BC6809584}">
  <sheetPr codeName="Sheet5">
    <tabColor rgb="FFFFC000"/>
    <pageSetUpPr fitToPage="1"/>
  </sheetPr>
  <dimension ref="B3:U25"/>
  <sheetViews>
    <sheetView zoomScale="20" zoomScaleNormal="20" workbookViewId="0">
      <selection activeCell="T3" sqref="T3:U3"/>
    </sheetView>
  </sheetViews>
  <sheetFormatPr defaultColWidth="9.26953125" defaultRowHeight="46.2"/>
  <cols>
    <col min="1" max="1" width="12.90625" style="42" bestFit="1" customWidth="1"/>
    <col min="2" max="2" width="26.1796875" style="42" customWidth="1"/>
    <col min="3" max="3" width="55.7265625" style="42" customWidth="1"/>
    <col min="4" max="4" width="22.7265625" style="42" customWidth="1"/>
    <col min="5" max="5" width="22.36328125" style="42" customWidth="1"/>
    <col min="6" max="6" width="24" style="42" customWidth="1"/>
    <col min="7" max="7" width="17.7265625" style="97" customWidth="1"/>
    <col min="8" max="8" width="23.36328125" style="145" customWidth="1"/>
    <col min="9" max="9" width="145.26953125" style="42" customWidth="1"/>
    <col min="10" max="10" width="17.7265625" style="183" customWidth="1"/>
    <col min="11" max="11" width="25.7265625" style="42" customWidth="1"/>
    <col min="12" max="12" width="139.08984375" style="42" customWidth="1"/>
    <col min="13" max="13" width="18.26953125" style="183" customWidth="1"/>
    <col min="14" max="14" width="28.36328125" style="42" customWidth="1"/>
    <col min="15" max="15" width="50.7265625" style="42" customWidth="1"/>
    <col min="16" max="16" width="18.7265625" style="97" customWidth="1"/>
    <col min="17" max="17" width="29.26953125" style="97" customWidth="1"/>
    <col min="18" max="18" width="114.1796875" style="42" customWidth="1"/>
    <col min="19" max="19" width="28.7265625" style="97" customWidth="1"/>
    <col min="20" max="20" width="31.54296875" style="42" customWidth="1"/>
    <col min="21" max="21" width="50.7265625" style="42" customWidth="1"/>
    <col min="22" max="16384" width="9.26953125" style="42"/>
  </cols>
  <sheetData>
    <row r="3" spans="2:21" s="97" customFormat="1" ht="92.4">
      <c r="B3" s="168" t="s">
        <v>602</v>
      </c>
      <c r="C3" s="168" t="s">
        <v>603</v>
      </c>
      <c r="D3" s="931" t="s">
        <v>543</v>
      </c>
      <c r="E3" s="931"/>
      <c r="F3" s="169" t="s">
        <v>544</v>
      </c>
      <c r="G3" s="170" t="s">
        <v>590</v>
      </c>
      <c r="H3" s="917" t="s">
        <v>545</v>
      </c>
      <c r="I3" s="918"/>
      <c r="J3" s="171" t="s">
        <v>590</v>
      </c>
      <c r="K3" s="906" t="s">
        <v>134</v>
      </c>
      <c r="L3" s="907"/>
      <c r="M3" s="172" t="s">
        <v>590</v>
      </c>
      <c r="N3" s="908" t="s">
        <v>546</v>
      </c>
      <c r="O3" s="909"/>
      <c r="P3" s="173" t="s">
        <v>590</v>
      </c>
      <c r="Q3" s="910" t="s">
        <v>547</v>
      </c>
      <c r="R3" s="911"/>
      <c r="S3" s="189" t="s">
        <v>590</v>
      </c>
      <c r="T3" s="912" t="s">
        <v>548</v>
      </c>
      <c r="U3" s="913"/>
    </row>
    <row r="4" spans="2:21" ht="400.05" customHeight="1" thickBot="1">
      <c r="B4" s="164">
        <v>18</v>
      </c>
      <c r="C4" s="165" t="s">
        <v>549</v>
      </c>
      <c r="D4" s="920">
        <v>1</v>
      </c>
      <c r="E4" s="920"/>
      <c r="F4" s="927" t="s">
        <v>545</v>
      </c>
      <c r="G4" s="193" t="s">
        <v>18</v>
      </c>
      <c r="H4" s="174" t="s">
        <v>549</v>
      </c>
      <c r="I4" s="175" t="s">
        <v>591</v>
      </c>
      <c r="J4" s="932"/>
      <c r="K4" s="932"/>
      <c r="L4" s="176"/>
      <c r="M4" s="933"/>
      <c r="N4" s="933"/>
      <c r="O4" s="176"/>
      <c r="P4" s="933"/>
      <c r="Q4" s="933"/>
      <c r="R4" s="176"/>
      <c r="S4" s="932"/>
      <c r="T4" s="932"/>
      <c r="U4" s="176"/>
    </row>
    <row r="5" spans="2:21" ht="199.95" customHeight="1" thickBot="1">
      <c r="B5" s="166">
        <v>17</v>
      </c>
      <c r="C5" s="167" t="s">
        <v>550</v>
      </c>
      <c r="D5" s="920">
        <v>2</v>
      </c>
      <c r="E5" s="920"/>
      <c r="F5" s="927"/>
      <c r="G5" s="930" t="s">
        <v>19</v>
      </c>
      <c r="H5" s="905" t="s">
        <v>604</v>
      </c>
      <c r="I5" s="919" t="s">
        <v>455</v>
      </c>
      <c r="J5" s="922" t="s">
        <v>81</v>
      </c>
      <c r="K5" s="905" t="s">
        <v>51</v>
      </c>
      <c r="L5" s="919" t="s">
        <v>456</v>
      </c>
      <c r="M5" s="923" t="s">
        <v>89</v>
      </c>
      <c r="N5" s="905" t="s">
        <v>51</v>
      </c>
      <c r="O5" s="905" t="s">
        <v>592</v>
      </c>
      <c r="P5" s="916" t="s">
        <v>90</v>
      </c>
      <c r="Q5" s="905" t="s">
        <v>51</v>
      </c>
      <c r="R5" s="905" t="s">
        <v>592</v>
      </c>
      <c r="S5" s="934"/>
      <c r="T5" s="934"/>
      <c r="U5" s="914"/>
    </row>
    <row r="6" spans="2:21" ht="199.95" customHeight="1" thickBot="1">
      <c r="B6" s="166">
        <v>16</v>
      </c>
      <c r="C6" s="167" t="s">
        <v>551</v>
      </c>
      <c r="D6" s="920"/>
      <c r="E6" s="920"/>
      <c r="F6" s="927"/>
      <c r="G6" s="930"/>
      <c r="H6" s="905"/>
      <c r="I6" s="904"/>
      <c r="J6" s="922"/>
      <c r="K6" s="905"/>
      <c r="L6" s="904"/>
      <c r="M6" s="923"/>
      <c r="N6" s="905"/>
      <c r="O6" s="905"/>
      <c r="P6" s="916"/>
      <c r="Q6" s="905"/>
      <c r="R6" s="905"/>
      <c r="S6" s="934"/>
      <c r="T6" s="934"/>
      <c r="U6" s="914"/>
    </row>
    <row r="7" spans="2:21" ht="139.94999999999999" customHeight="1" thickBot="1">
      <c r="B7" s="164">
        <v>15</v>
      </c>
      <c r="C7" s="165" t="s">
        <v>552</v>
      </c>
      <c r="D7" s="920">
        <v>3</v>
      </c>
      <c r="E7" s="920"/>
      <c r="F7" s="927"/>
      <c r="G7" s="930" t="s">
        <v>20</v>
      </c>
      <c r="H7" s="905" t="s">
        <v>605</v>
      </c>
      <c r="I7" s="919" t="s">
        <v>457</v>
      </c>
      <c r="J7" s="922" t="s">
        <v>91</v>
      </c>
      <c r="K7" s="905" t="s">
        <v>554</v>
      </c>
      <c r="L7" s="919" t="s">
        <v>458</v>
      </c>
      <c r="M7" s="923" t="s">
        <v>97</v>
      </c>
      <c r="N7" s="905" t="s">
        <v>554</v>
      </c>
      <c r="O7" s="905" t="s">
        <v>593</v>
      </c>
      <c r="P7" s="916" t="s">
        <v>98</v>
      </c>
      <c r="Q7" s="905" t="s">
        <v>554</v>
      </c>
      <c r="R7" s="905" t="s">
        <v>593</v>
      </c>
      <c r="S7" s="921"/>
      <c r="T7" s="921"/>
      <c r="U7" s="914"/>
    </row>
    <row r="8" spans="2:21" ht="139.94999999999999" customHeight="1" thickBot="1">
      <c r="B8" s="164">
        <v>14</v>
      </c>
      <c r="C8" s="165" t="s">
        <v>555</v>
      </c>
      <c r="D8" s="920"/>
      <c r="E8" s="920"/>
      <c r="F8" s="927"/>
      <c r="G8" s="930"/>
      <c r="H8" s="905"/>
      <c r="I8" s="904"/>
      <c r="J8" s="922"/>
      <c r="K8" s="905"/>
      <c r="L8" s="904"/>
      <c r="M8" s="923"/>
      <c r="N8" s="905"/>
      <c r="O8" s="905"/>
      <c r="P8" s="916"/>
      <c r="Q8" s="905"/>
      <c r="R8" s="905"/>
      <c r="S8" s="921"/>
      <c r="T8" s="921"/>
      <c r="U8" s="914"/>
    </row>
    <row r="9" spans="2:21" ht="139.94999999999999" customHeight="1" thickBot="1">
      <c r="B9" s="164">
        <v>13</v>
      </c>
      <c r="C9" s="165" t="s">
        <v>556</v>
      </c>
      <c r="D9" s="920"/>
      <c r="E9" s="920"/>
      <c r="F9" s="927"/>
      <c r="G9" s="930"/>
      <c r="H9" s="905"/>
      <c r="I9" s="904"/>
      <c r="J9" s="922"/>
      <c r="K9" s="905"/>
      <c r="L9" s="904"/>
      <c r="M9" s="923"/>
      <c r="N9" s="905"/>
      <c r="O9" s="905"/>
      <c r="P9" s="916"/>
      <c r="Q9" s="905"/>
      <c r="R9" s="905"/>
      <c r="S9" s="921"/>
      <c r="T9" s="921"/>
      <c r="U9" s="914"/>
    </row>
    <row r="10" spans="2:21" ht="199.95" customHeight="1" thickBot="1">
      <c r="B10" s="166">
        <v>12</v>
      </c>
      <c r="C10" s="167" t="s">
        <v>553</v>
      </c>
      <c r="D10" s="920">
        <v>4</v>
      </c>
      <c r="E10" s="920"/>
      <c r="F10" s="927"/>
      <c r="G10" s="930" t="s">
        <v>21</v>
      </c>
      <c r="H10" s="905" t="s">
        <v>557</v>
      </c>
      <c r="I10" s="919" t="s">
        <v>459</v>
      </c>
      <c r="J10" s="922" t="s">
        <v>99</v>
      </c>
      <c r="K10" s="905" t="s">
        <v>558</v>
      </c>
      <c r="L10" s="919" t="s">
        <v>460</v>
      </c>
      <c r="M10" s="923" t="s">
        <v>103</v>
      </c>
      <c r="N10" s="905" t="s">
        <v>558</v>
      </c>
      <c r="O10" s="905" t="s">
        <v>594</v>
      </c>
      <c r="P10" s="916" t="s">
        <v>104</v>
      </c>
      <c r="Q10" s="905" t="s">
        <v>558</v>
      </c>
      <c r="R10" s="905" t="s">
        <v>594</v>
      </c>
      <c r="S10" s="921"/>
      <c r="T10" s="921"/>
      <c r="U10" s="914"/>
    </row>
    <row r="11" spans="2:21" ht="199.95" customHeight="1" thickBot="1">
      <c r="B11" s="166">
        <v>11</v>
      </c>
      <c r="C11" s="167" t="s">
        <v>557</v>
      </c>
      <c r="D11" s="920"/>
      <c r="E11" s="920"/>
      <c r="F11" s="927"/>
      <c r="G11" s="930"/>
      <c r="H11" s="905"/>
      <c r="I11" s="904"/>
      <c r="J11" s="922"/>
      <c r="K11" s="905"/>
      <c r="L11" s="904"/>
      <c r="M11" s="923"/>
      <c r="N11" s="905"/>
      <c r="O11" s="905"/>
      <c r="P11" s="916"/>
      <c r="Q11" s="905"/>
      <c r="R11" s="905"/>
      <c r="S11" s="921"/>
      <c r="T11" s="921"/>
      <c r="U11" s="914"/>
    </row>
    <row r="12" spans="2:21" ht="400.05" customHeight="1" thickBot="1">
      <c r="B12" s="164">
        <v>10</v>
      </c>
      <c r="C12" s="165" t="s">
        <v>559</v>
      </c>
      <c r="D12" s="920">
        <v>5</v>
      </c>
      <c r="E12" s="920"/>
      <c r="F12" s="927" t="s">
        <v>560</v>
      </c>
      <c r="G12" s="195" t="s">
        <v>22</v>
      </c>
      <c r="H12" s="179" t="s">
        <v>559</v>
      </c>
      <c r="I12" s="180" t="s">
        <v>469</v>
      </c>
      <c r="J12" s="194" t="s">
        <v>37</v>
      </c>
      <c r="K12" s="179" t="s">
        <v>561</v>
      </c>
      <c r="L12" s="181" t="s">
        <v>468</v>
      </c>
      <c r="M12" s="196" t="s">
        <v>106</v>
      </c>
      <c r="N12" s="179" t="s">
        <v>561</v>
      </c>
      <c r="O12" s="179" t="s">
        <v>595</v>
      </c>
      <c r="P12" s="197" t="s">
        <v>31</v>
      </c>
      <c r="Q12" s="179" t="s">
        <v>561</v>
      </c>
      <c r="R12" s="179" t="s">
        <v>595</v>
      </c>
      <c r="S12" s="199" t="s">
        <v>41</v>
      </c>
      <c r="T12" s="179" t="s">
        <v>562</v>
      </c>
      <c r="U12" s="179" t="s">
        <v>595</v>
      </c>
    </row>
    <row r="13" spans="2:21" s="163" customFormat="1" ht="150" customHeight="1" thickBot="1">
      <c r="B13" s="167">
        <v>9</v>
      </c>
      <c r="C13" s="167" t="s">
        <v>563</v>
      </c>
      <c r="D13" s="920">
        <v>6</v>
      </c>
      <c r="E13" s="920"/>
      <c r="F13" s="927"/>
      <c r="G13" s="928"/>
      <c r="H13" s="928"/>
      <c r="I13" s="184"/>
      <c r="J13" s="922" t="s">
        <v>273</v>
      </c>
      <c r="K13" s="905" t="s">
        <v>115</v>
      </c>
      <c r="L13" s="915" t="s">
        <v>467</v>
      </c>
      <c r="M13" s="923" t="s">
        <v>113</v>
      </c>
      <c r="N13" s="905" t="s">
        <v>564</v>
      </c>
      <c r="O13" s="905" t="s">
        <v>596</v>
      </c>
      <c r="P13" s="916" t="s">
        <v>33</v>
      </c>
      <c r="Q13" s="905" t="s">
        <v>564</v>
      </c>
      <c r="R13" s="905" t="s">
        <v>596</v>
      </c>
      <c r="S13" s="924" t="s">
        <v>42</v>
      </c>
      <c r="T13" s="905" t="s">
        <v>564</v>
      </c>
      <c r="U13" s="905" t="s">
        <v>596</v>
      </c>
    </row>
    <row r="14" spans="2:21" s="163" customFormat="1" ht="150" customHeight="1" thickBot="1">
      <c r="B14" s="167">
        <v>8</v>
      </c>
      <c r="C14" s="167" t="s">
        <v>565</v>
      </c>
      <c r="D14" s="920"/>
      <c r="E14" s="920"/>
      <c r="F14" s="927"/>
      <c r="G14" s="928"/>
      <c r="H14" s="928"/>
      <c r="I14" s="182"/>
      <c r="J14" s="922"/>
      <c r="K14" s="905"/>
      <c r="L14" s="915"/>
      <c r="M14" s="923"/>
      <c r="N14" s="905"/>
      <c r="O14" s="905"/>
      <c r="P14" s="916"/>
      <c r="Q14" s="905"/>
      <c r="R14" s="905"/>
      <c r="S14" s="924"/>
      <c r="T14" s="905"/>
      <c r="U14" s="905"/>
    </row>
    <row r="15" spans="2:21" ht="150" customHeight="1" thickBot="1">
      <c r="B15" s="925">
        <v>7</v>
      </c>
      <c r="C15" s="926" t="s">
        <v>566</v>
      </c>
      <c r="D15" s="920">
        <v>7</v>
      </c>
      <c r="E15" s="190" t="s">
        <v>567</v>
      </c>
      <c r="F15" s="927"/>
      <c r="G15" s="921"/>
      <c r="H15" s="921"/>
      <c r="I15" s="186"/>
      <c r="J15" s="922" t="s">
        <v>34</v>
      </c>
      <c r="K15" s="905" t="s">
        <v>568</v>
      </c>
      <c r="L15" s="915" t="s">
        <v>465</v>
      </c>
      <c r="M15" s="923" t="s">
        <v>121</v>
      </c>
      <c r="N15" s="905" t="s">
        <v>569</v>
      </c>
      <c r="O15" s="905" t="s">
        <v>597</v>
      </c>
      <c r="P15" s="916" t="s">
        <v>35</v>
      </c>
      <c r="Q15" s="905" t="s">
        <v>569</v>
      </c>
      <c r="R15" s="905" t="s">
        <v>597</v>
      </c>
      <c r="S15" s="200" t="s">
        <v>275</v>
      </c>
      <c r="T15" s="188" t="s">
        <v>570</v>
      </c>
      <c r="U15" s="905" t="s">
        <v>597</v>
      </c>
    </row>
    <row r="16" spans="2:21" ht="150" customHeight="1" thickBot="1">
      <c r="B16" s="925"/>
      <c r="C16" s="926"/>
      <c r="D16" s="920"/>
      <c r="E16" s="190" t="s">
        <v>571</v>
      </c>
      <c r="F16" s="927"/>
      <c r="G16" s="921"/>
      <c r="H16" s="921"/>
      <c r="I16" s="185"/>
      <c r="J16" s="922"/>
      <c r="K16" s="905"/>
      <c r="L16" s="915"/>
      <c r="M16" s="923"/>
      <c r="N16" s="905"/>
      <c r="O16" s="905"/>
      <c r="P16" s="916"/>
      <c r="Q16" s="905"/>
      <c r="R16" s="905"/>
      <c r="S16" s="201" t="s">
        <v>276</v>
      </c>
      <c r="T16" s="187" t="s">
        <v>572</v>
      </c>
      <c r="U16" s="905"/>
    </row>
    <row r="17" spans="2:21" ht="150" customHeight="1" thickBot="1">
      <c r="B17" s="166">
        <v>6</v>
      </c>
      <c r="C17" s="167" t="s">
        <v>573</v>
      </c>
      <c r="D17" s="920">
        <v>8</v>
      </c>
      <c r="E17" s="190" t="s">
        <v>567</v>
      </c>
      <c r="F17" s="927"/>
      <c r="G17" s="921"/>
      <c r="H17" s="921"/>
      <c r="I17" s="186"/>
      <c r="J17" s="922" t="s">
        <v>274</v>
      </c>
      <c r="K17" s="905" t="s">
        <v>134</v>
      </c>
      <c r="L17" s="915" t="s">
        <v>466</v>
      </c>
      <c r="M17" s="923" t="s">
        <v>131</v>
      </c>
      <c r="N17" s="905" t="s">
        <v>133</v>
      </c>
      <c r="O17" s="905" t="s">
        <v>598</v>
      </c>
      <c r="P17" s="916" t="s">
        <v>36</v>
      </c>
      <c r="Q17" s="905" t="s">
        <v>133</v>
      </c>
      <c r="R17" s="905" t="s">
        <v>598</v>
      </c>
      <c r="S17" s="200" t="s">
        <v>277</v>
      </c>
      <c r="T17" s="188" t="s">
        <v>574</v>
      </c>
      <c r="U17" s="905" t="s">
        <v>598</v>
      </c>
    </row>
    <row r="18" spans="2:21" ht="150" customHeight="1" thickBot="1">
      <c r="B18" s="166">
        <v>5</v>
      </c>
      <c r="C18" s="167" t="s">
        <v>575</v>
      </c>
      <c r="D18" s="920"/>
      <c r="E18" s="190" t="s">
        <v>571</v>
      </c>
      <c r="F18" s="927"/>
      <c r="G18" s="921"/>
      <c r="H18" s="921"/>
      <c r="I18" s="185"/>
      <c r="J18" s="922"/>
      <c r="K18" s="905"/>
      <c r="L18" s="915"/>
      <c r="M18" s="923"/>
      <c r="N18" s="905"/>
      <c r="O18" s="905"/>
      <c r="P18" s="916"/>
      <c r="Q18" s="905"/>
      <c r="R18" s="905"/>
      <c r="S18" s="201" t="s">
        <v>278</v>
      </c>
      <c r="T18" s="187" t="s">
        <v>576</v>
      </c>
      <c r="U18" s="905"/>
    </row>
    <row r="19" spans="2:21" ht="160.05000000000001" customHeight="1" thickBot="1">
      <c r="B19" s="164">
        <v>4</v>
      </c>
      <c r="C19" s="165" t="s">
        <v>577</v>
      </c>
      <c r="D19" s="920">
        <v>9</v>
      </c>
      <c r="E19" s="190" t="s">
        <v>567</v>
      </c>
      <c r="F19" s="927"/>
      <c r="G19" s="921"/>
      <c r="H19" s="921"/>
      <c r="I19" s="186"/>
      <c r="J19" s="921"/>
      <c r="K19" s="921"/>
      <c r="L19" s="186"/>
      <c r="M19" s="921"/>
      <c r="N19" s="921"/>
      <c r="O19" s="186"/>
      <c r="P19" s="916" t="s">
        <v>43</v>
      </c>
      <c r="Q19" s="905" t="s">
        <v>578</v>
      </c>
      <c r="R19" s="904" t="s">
        <v>463</v>
      </c>
      <c r="S19" s="200" t="s">
        <v>279</v>
      </c>
      <c r="T19" s="188" t="s">
        <v>579</v>
      </c>
      <c r="U19" s="905" t="s">
        <v>599</v>
      </c>
    </row>
    <row r="20" spans="2:21" ht="160.05000000000001" customHeight="1" thickBot="1">
      <c r="B20" s="164">
        <v>3</v>
      </c>
      <c r="C20" s="165" t="s">
        <v>580</v>
      </c>
      <c r="D20" s="920"/>
      <c r="E20" s="190" t="s">
        <v>571</v>
      </c>
      <c r="F20" s="927"/>
      <c r="G20" s="921"/>
      <c r="H20" s="921"/>
      <c r="I20" s="185"/>
      <c r="J20" s="921"/>
      <c r="K20" s="921"/>
      <c r="L20" s="185"/>
      <c r="M20" s="921"/>
      <c r="N20" s="921"/>
      <c r="O20" s="185"/>
      <c r="P20" s="916"/>
      <c r="Q20" s="905"/>
      <c r="R20" s="904"/>
      <c r="S20" s="201" t="s">
        <v>280</v>
      </c>
      <c r="T20" s="187" t="s">
        <v>581</v>
      </c>
      <c r="U20" s="905"/>
    </row>
    <row r="21" spans="2:21" ht="160.05000000000001" customHeight="1" thickBot="1">
      <c r="B21" s="166">
        <v>2</v>
      </c>
      <c r="C21" s="167" t="s">
        <v>582</v>
      </c>
      <c r="D21" s="920">
        <v>10</v>
      </c>
      <c r="E21" s="190" t="s">
        <v>567</v>
      </c>
      <c r="F21" s="927"/>
      <c r="G21" s="921"/>
      <c r="H21" s="921"/>
      <c r="I21" s="186"/>
      <c r="J21" s="921"/>
      <c r="K21" s="921"/>
      <c r="L21" s="186"/>
      <c r="M21" s="921"/>
      <c r="N21" s="921"/>
      <c r="O21" s="186"/>
      <c r="P21" s="916" t="s">
        <v>146</v>
      </c>
      <c r="Q21" s="905" t="s">
        <v>583</v>
      </c>
      <c r="R21" s="904" t="s">
        <v>461</v>
      </c>
      <c r="S21" s="200" t="s">
        <v>281</v>
      </c>
      <c r="T21" s="188" t="s">
        <v>584</v>
      </c>
      <c r="U21" s="905" t="s">
        <v>600</v>
      </c>
    </row>
    <row r="22" spans="2:21" ht="160.05000000000001" customHeight="1" thickBot="1">
      <c r="B22" s="166">
        <v>1</v>
      </c>
      <c r="C22" s="167" t="s">
        <v>585</v>
      </c>
      <c r="D22" s="920"/>
      <c r="E22" s="190" t="s">
        <v>571</v>
      </c>
      <c r="F22" s="927"/>
      <c r="G22" s="921"/>
      <c r="H22" s="921"/>
      <c r="I22" s="185"/>
      <c r="J22" s="921"/>
      <c r="K22" s="921"/>
      <c r="L22" s="185"/>
      <c r="M22" s="921"/>
      <c r="N22" s="921"/>
      <c r="O22" s="185"/>
      <c r="P22" s="916"/>
      <c r="Q22" s="905"/>
      <c r="R22" s="904"/>
      <c r="S22" s="201" t="s">
        <v>282</v>
      </c>
      <c r="T22" s="187" t="s">
        <v>586</v>
      </c>
      <c r="U22" s="905"/>
    </row>
    <row r="23" spans="2:21" ht="319.95" customHeight="1">
      <c r="B23" s="164">
        <v>0</v>
      </c>
      <c r="C23" s="165" t="s">
        <v>587</v>
      </c>
      <c r="D23" s="190">
        <v>11</v>
      </c>
      <c r="E23" s="191"/>
      <c r="F23" s="927"/>
      <c r="G23" s="929"/>
      <c r="H23" s="929"/>
      <c r="I23" s="177"/>
      <c r="J23" s="929"/>
      <c r="K23" s="929"/>
      <c r="L23" s="177"/>
      <c r="M23" s="929"/>
      <c r="N23" s="929"/>
      <c r="O23" s="177"/>
      <c r="P23" s="198" t="s">
        <v>283</v>
      </c>
      <c r="Q23" s="178" t="s">
        <v>588</v>
      </c>
      <c r="R23" s="192" t="s">
        <v>462</v>
      </c>
      <c r="S23" s="202" t="s">
        <v>284</v>
      </c>
      <c r="T23" s="178" t="s">
        <v>589</v>
      </c>
      <c r="U23" s="178" t="s">
        <v>601</v>
      </c>
    </row>
    <row r="24" spans="2:21">
      <c r="Q24" s="183"/>
    </row>
    <row r="25" spans="2:21">
      <c r="Q25" s="183"/>
    </row>
  </sheetData>
  <mergeCells count="118">
    <mergeCell ref="D3:E3"/>
    <mergeCell ref="D4:E4"/>
    <mergeCell ref="F4:F11"/>
    <mergeCell ref="J4:K4"/>
    <mergeCell ref="M4:N4"/>
    <mergeCell ref="P4:Q4"/>
    <mergeCell ref="S4:T4"/>
    <mergeCell ref="D5:E6"/>
    <mergeCell ref="G5:G6"/>
    <mergeCell ref="H5:H6"/>
    <mergeCell ref="S5:T6"/>
    <mergeCell ref="D7:E9"/>
    <mergeCell ref="G7:G9"/>
    <mergeCell ref="H7:H9"/>
    <mergeCell ref="J7:J9"/>
    <mergeCell ref="K7:K9"/>
    <mergeCell ref="M7:M9"/>
    <mergeCell ref="N7:N9"/>
    <mergeCell ref="P7:P9"/>
    <mergeCell ref="Q7:Q9"/>
    <mergeCell ref="J5:J6"/>
    <mergeCell ref="K5:K6"/>
    <mergeCell ref="M5:M6"/>
    <mergeCell ref="N5:N6"/>
    <mergeCell ref="S7:T9"/>
    <mergeCell ref="D10:E11"/>
    <mergeCell ref="G10:G11"/>
    <mergeCell ref="H10:H11"/>
    <mergeCell ref="J10:J11"/>
    <mergeCell ref="K10:K11"/>
    <mergeCell ref="M10:M11"/>
    <mergeCell ref="N10:N11"/>
    <mergeCell ref="P10:P11"/>
    <mergeCell ref="Q10:Q11"/>
    <mergeCell ref="S10:T11"/>
    <mergeCell ref="I7:I9"/>
    <mergeCell ref="I10:I11"/>
    <mergeCell ref="D12:E12"/>
    <mergeCell ref="F12:F23"/>
    <mergeCell ref="D13:E14"/>
    <mergeCell ref="G13:H14"/>
    <mergeCell ref="J13:J14"/>
    <mergeCell ref="K13:K14"/>
    <mergeCell ref="M13:M14"/>
    <mergeCell ref="N13:N14"/>
    <mergeCell ref="P13:P14"/>
    <mergeCell ref="G23:H23"/>
    <mergeCell ref="J23:K23"/>
    <mergeCell ref="M23:N23"/>
    <mergeCell ref="Q13:Q14"/>
    <mergeCell ref="S13:S14"/>
    <mergeCell ref="T13:T14"/>
    <mergeCell ref="B15:B16"/>
    <mergeCell ref="C15:C16"/>
    <mergeCell ref="D15:D16"/>
    <mergeCell ref="G15:H16"/>
    <mergeCell ref="J15:J16"/>
    <mergeCell ref="K15:K16"/>
    <mergeCell ref="M15:M16"/>
    <mergeCell ref="Q21:Q22"/>
    <mergeCell ref="Q17:Q18"/>
    <mergeCell ref="D19:D20"/>
    <mergeCell ref="G19:H20"/>
    <mergeCell ref="J19:K20"/>
    <mergeCell ref="M19:N20"/>
    <mergeCell ref="P19:P20"/>
    <mergeCell ref="Q19:Q20"/>
    <mergeCell ref="N15:N16"/>
    <mergeCell ref="P15:P16"/>
    <mergeCell ref="Q15:Q16"/>
    <mergeCell ref="D17:D18"/>
    <mergeCell ref="G17:H18"/>
    <mergeCell ref="J17:J18"/>
    <mergeCell ref="K17:K18"/>
    <mergeCell ref="M17:M18"/>
    <mergeCell ref="N17:N18"/>
    <mergeCell ref="P17:P18"/>
    <mergeCell ref="D21:D22"/>
    <mergeCell ref="G21:H22"/>
    <mergeCell ref="J21:K22"/>
    <mergeCell ref="M21:N22"/>
    <mergeCell ref="H3:I3"/>
    <mergeCell ref="L5:L6"/>
    <mergeCell ref="L7:L9"/>
    <mergeCell ref="L10:L11"/>
    <mergeCell ref="O5:O6"/>
    <mergeCell ref="R5:R6"/>
    <mergeCell ref="O7:O9"/>
    <mergeCell ref="R7:R9"/>
    <mergeCell ref="O10:O11"/>
    <mergeCell ref="R10:R11"/>
    <mergeCell ref="P5:P6"/>
    <mergeCell ref="Q5:Q6"/>
    <mergeCell ref="I5:I6"/>
    <mergeCell ref="R21:R22"/>
    <mergeCell ref="U19:U20"/>
    <mergeCell ref="U21:U22"/>
    <mergeCell ref="K3:L3"/>
    <mergeCell ref="N3:O3"/>
    <mergeCell ref="Q3:R3"/>
    <mergeCell ref="T3:U3"/>
    <mergeCell ref="R15:R16"/>
    <mergeCell ref="R17:R18"/>
    <mergeCell ref="U13:U14"/>
    <mergeCell ref="U15:U16"/>
    <mergeCell ref="U17:U18"/>
    <mergeCell ref="R19:R20"/>
    <mergeCell ref="U5:U6"/>
    <mergeCell ref="U7:U9"/>
    <mergeCell ref="U10:U11"/>
    <mergeCell ref="L13:L14"/>
    <mergeCell ref="L15:L16"/>
    <mergeCell ref="L17:L18"/>
    <mergeCell ref="O13:O14"/>
    <mergeCell ref="O15:O16"/>
    <mergeCell ref="O17:O18"/>
    <mergeCell ref="R13:R14"/>
    <mergeCell ref="P21:P22"/>
  </mergeCells>
  <phoneticPr fontId="10" type="noConversion"/>
  <pageMargins left="0.24" right="0.25" top="0.28000000000000003" bottom="0.44" header="0.3" footer="0.3"/>
  <pageSetup paperSize="8" scale="1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New_6 Factors Form</vt:lpstr>
      <vt:lpstr>New_MBO Form</vt:lpstr>
      <vt:lpstr>How to fill MBO</vt:lpstr>
      <vt:lpstr>How to fill 6 Factors </vt:lpstr>
      <vt:lpstr>'How to fill 6 Factors '!Print_Area</vt:lpstr>
      <vt:lpstr>'How to fill MBO'!Print_Area</vt:lpstr>
      <vt:lpstr>'New_6 Factors Form'!Print_Area</vt:lpstr>
      <vt:lpstr>'New_MBO Form'!Print_Area</vt:lpstr>
    </vt:vector>
  </TitlesOfParts>
  <Company>Marsh &amp; McLennan Companies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Lembaroheem, Anussra</dc:creator>
  <cp:lastModifiedBy>Sirawit Kaewchoo</cp:lastModifiedBy>
  <cp:lastPrinted>2021-09-21T09:39:29Z</cp:lastPrinted>
  <dcterms:created xsi:type="dcterms:W3CDTF">2017-03-08T07:49:45Z</dcterms:created>
  <dcterms:modified xsi:type="dcterms:W3CDTF">2026-07-10T10:25:03Z</dcterms:modified>
</cp:coreProperties>
</file>